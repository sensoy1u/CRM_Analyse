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/Users/senems/Desktop/Churn_Projekt_Soylu/Churn_Projekt_Soylu/"/>
    </mc:Choice>
  </mc:AlternateContent>
  <xr:revisionPtr revIDLastSave="0" documentId="8_{326E0125-CC76-7440-BA08-8ADDE8877076}" xr6:coauthVersionLast="47" xr6:coauthVersionMax="47" xr10:uidLastSave="{00000000-0000-0000-0000-000000000000}"/>
  <bookViews>
    <workbookView xWindow="1460" yWindow="10200" windowWidth="24140" windowHeight="14240" activeTab="3" xr2:uid="{1A5BB449-161E-B640-BC52-FED39B9B8214}"/>
  </bookViews>
  <sheets>
    <sheet name="Rohdaten" sheetId="1" r:id="rId1"/>
    <sheet name="Bereinigte Daten" sheetId="2" r:id="rId2"/>
    <sheet name="Analyse" sheetId="3" r:id="rId3"/>
    <sheet name="Dashboard" sheetId="6" r:id="rId4"/>
  </sheets>
  <definedNames>
    <definedName name="_xlnm._FilterDatabase" localSheetId="1" hidden="1">'Bereinigte Daten'!#REF!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" i="2" l="1"/>
  <c r="M2" i="2"/>
  <c r="L4" i="2"/>
  <c r="L2" i="2"/>
  <c r="C26" i="3"/>
  <c r="C28" i="3"/>
  <c r="C29" i="3"/>
  <c r="C27" i="3"/>
  <c r="B26" i="3"/>
  <c r="B28" i="3"/>
  <c r="B29" i="3"/>
  <c r="B27" i="3"/>
  <c r="C30" i="3"/>
  <c r="D30" i="3" s="1"/>
  <c r="B30" i="3"/>
  <c r="B21" i="3"/>
  <c r="B20" i="3"/>
  <c r="B19" i="3"/>
  <c r="C21" i="3"/>
  <c r="C20" i="3"/>
  <c r="D20" i="3" s="1"/>
  <c r="C19" i="3"/>
  <c r="C22" i="3"/>
  <c r="D22" i="3" s="1"/>
  <c r="B22" i="3"/>
  <c r="C14" i="3"/>
  <c r="C13" i="3"/>
  <c r="C15" i="3"/>
  <c r="C11" i="3"/>
  <c r="D11" i="3" s="1"/>
  <c r="B14" i="3"/>
  <c r="B13" i="3"/>
  <c r="B15" i="3"/>
  <c r="B11" i="3"/>
  <c r="C12" i="3"/>
  <c r="D12" i="3" s="1"/>
  <c r="B12" i="3"/>
  <c r="B4" i="3"/>
  <c r="B7" i="3"/>
  <c r="B5" i="3"/>
  <c r="B6" i="3" s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L3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D14" i="3" l="1"/>
  <c r="D13" i="3"/>
  <c r="D15" i="3"/>
  <c r="D27" i="3"/>
  <c r="D29" i="3"/>
  <c r="D26" i="3"/>
  <c r="D28" i="3"/>
  <c r="D21" i="3"/>
  <c r="D19" i="3"/>
</calcChain>
</file>

<file path=xl/sharedStrings.xml><?xml version="1.0" encoding="utf-8"?>
<sst xmlns="http://schemas.openxmlformats.org/spreadsheetml/2006/main" count="2856" uniqueCount="247">
  <si>
    <t>Lead_ID</t>
  </si>
  <si>
    <t>Lead_Quelle</t>
  </si>
  <si>
    <t>Region</t>
  </si>
  <si>
    <t>Kontakt_Datum</t>
  </si>
  <si>
    <t>Status</t>
  </si>
  <si>
    <t>Umsatzpotenzial</t>
  </si>
  <si>
    <t>Branche</t>
  </si>
  <si>
    <t>Mitarbeiterzahl</t>
  </si>
  <si>
    <t>Conversion</t>
  </si>
  <si>
    <t>Sales_Rep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</si>
  <si>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</si>
  <si>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</si>
  <si>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</si>
  <si>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</si>
  <si>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</si>
  <si>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</si>
  <si>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</si>
  <si>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</si>
  <si>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</si>
  <si>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</si>
  <si>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</si>
  <si>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</si>
  <si>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</si>
  <si>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</si>
  <si>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</si>
  <si>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</si>
  <si>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</si>
  <si>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</si>
  <si>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</si>
  <si>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</si>
  <si>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</si>
  <si>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</si>
  <si>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</si>
  <si>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</si>
  <si>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</si>
  <si>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</si>
  <si>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</si>
  <si>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</si>
  <si>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</si>
  <si>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</si>
  <si>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</si>
  <si>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</si>
  <si>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</si>
  <si>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</si>
  <si>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</si>
  <si>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</si>
  <si>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</si>
  <si>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</si>
  <si>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</si>
  <si>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</si>
  <si>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</si>
  <si>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</si>
  <si>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</si>
  <si>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</si>
  <si>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</si>
  <si>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</si>
  <si>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</si>
  <si>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</si>
  <si>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</si>
  <si>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</si>
  <si>
    <t>L051</t>
  </si>
  <si>
    <t>L052</t>
  </si>
  <si>
    <t>L053</t>
  </si>
  <si>
    <t>L054</t>
  </si>
  <si>
    <t>L055</t>
  </si>
  <si>
    <t>L056</t>
  </si>
  <si>
    <t>L057</t>
  </si>
  <si>
    <t>L058</t>
  </si>
  <si>
    <t>L059</t>
  </si>
  <si>
    <t>L060</t>
  </si>
  <si>
    <t>L061</t>
  </si>
  <si>
    <t>L062</t>
  </si>
  <si>
    <t>L063</t>
  </si>
  <si>
    <t>L064</t>
  </si>
  <si>
    <t>L065</t>
  </si>
  <si>
    <t>L066</t>
  </si>
  <si>
    <t>L067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</si>
  <si>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</si>
  <si>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</si>
  <si>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</si>
  <si>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</si>
  <si>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</si>
  <si>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</si>
  <si>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</si>
  <si>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</si>
  <si>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</si>
  <si>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L077</t>
  </si>
  <si>
    <t>L078</t>
  </si>
  <si>
    <t>L079</t>
  </si>
  <si>
    <t>L080</t>
  </si>
  <si>
    <t>L081</t>
  </si>
  <si>
    <t>L082</t>
  </si>
  <si>
    <t>L083</t>
  </si>
  <si>
    <t>L084</t>
  </si>
  <si>
    <t>L085</t>
  </si>
  <si>
    <t>L086</t>
  </si>
  <si>
    <t>L087</t>
  </si>
  <si>
    <t>L088</t>
  </si>
  <si>
    <t>L089</t>
  </si>
  <si>
    <t>L090</t>
  </si>
  <si>
    <t>L091</t>
  </si>
  <si>
    <t>L092</t>
  </si>
  <si>
    <t>L093</t>
  </si>
  <si>
    <t>L094</t>
  </si>
  <si>
    <t>L095</t>
  </si>
  <si>
    <t>L096</t>
  </si>
  <si>
    <t>L097</t>
  </si>
  <si>
    <t>L098</t>
  </si>
  <si>
    <t>L099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</si>
  <si>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</si>
  <si>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</si>
  <si>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</si>
  <si>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</si>
  <si>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</si>
  <si>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</si>
  <si>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</si>
  <si>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</si>
  <si>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</si>
  <si>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</si>
  <si>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</si>
  <si>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</si>
  <si>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</si>
  <si>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</si>
  <si>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</si>
  <si>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</si>
  <si>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</si>
  <si>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</si>
  <si>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</si>
  <si>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</si>
  <si>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</si>
  <si>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</si>
  <si>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</si>
  <si>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</si>
  <si>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L124</t>
  </si>
  <si>
    <t>L125</t>
  </si>
  <si>
    <t>L126</t>
  </si>
  <si>
    <t>L127</t>
  </si>
  <si>
    <t>L128</t>
  </si>
  <si>
    <t>L129</t>
  </si>
  <si>
    <t>L130</t>
  </si>
  <si>
    <t>L131</t>
  </si>
  <si>
    <t>L132</t>
  </si>
  <si>
    <t>L133</t>
  </si>
  <si>
    <t>L134</t>
  </si>
  <si>
    <t>L135</t>
  </si>
  <si>
    <t>L136</t>
  </si>
  <si>
    <t>L137</t>
  </si>
  <si>
    <t>L138</t>
  </si>
  <si>
    <t>L139</t>
  </si>
  <si>
    <t>L140</t>
  </si>
  <si>
    <t>L141</t>
  </si>
  <si>
    <t>L142</t>
  </si>
  <si>
    <t>L143</t>
  </si>
  <si>
    <t>L144</t>
  </si>
  <si>
    <t>L145</t>
  </si>
  <si>
    <t>L146</t>
  </si>
  <si>
    <t>L147</t>
  </si>
  <si>
    <t>L148</t>
  </si>
  <si>
    <t>L149</t>
  </si>
  <si>
    <t>L150</t>
  </si>
  <si>
    <t>L151</t>
  </si>
  <si>
    <t>L152</t>
  </si>
  <si>
    <t>L153</t>
  </si>
  <si>
    <t>L154</t>
  </si>
  <si>
    <t>L155</t>
  </si>
  <si>
    <t>L156</t>
  </si>
  <si>
    <t>L157</t>
  </si>
  <si>
    <t>L158</t>
  </si>
  <si>
    <t>L159</t>
  </si>
  <si>
    <t>L160</t>
  </si>
  <si>
    <t>L161</t>
  </si>
  <si>
    <t>L162</t>
  </si>
  <si>
    <t>L163</t>
  </si>
  <si>
    <t>L164</t>
  </si>
  <si>
    <t>L165</t>
  </si>
  <si>
    <t>L166</t>
  </si>
  <si>
    <t>L167</t>
  </si>
  <si>
    <t>L168</t>
  </si>
  <si>
    <t>L169</t>
  </si>
  <si>
    <t>L170</t>
  </si>
  <si>
    <t>L171</t>
  </si>
  <si>
    <t>L172</t>
  </si>
  <si>
    <t>L173</t>
  </si>
  <si>
    <t>L174</t>
  </si>
  <si>
    <t>L175</t>
  </si>
  <si>
    <t>L176</t>
  </si>
  <si>
    <t>L177</t>
  </si>
  <si>
    <t>L178</t>
  </si>
  <si>
    <t>L179</t>
  </si>
  <si>
    <t>L180</t>
  </si>
  <si>
    <t>L181</t>
  </si>
  <si>
    <t>L182</t>
  </si>
  <si>
    <t>L183</t>
  </si>
  <si>
    <t>L184</t>
  </si>
  <si>
    <t>L185</t>
  </si>
  <si>
    <t>L186</t>
  </si>
  <si>
    <t>L187</t>
  </si>
  <si>
    <t>L188</t>
  </si>
  <si>
    <t>L189</t>
  </si>
  <si>
    <t>L190</t>
  </si>
  <si>
    <t>L191</t>
  </si>
  <si>
    <t>L192</t>
  </si>
  <si>
    <t>L193</t>
  </si>
  <si>
    <t>L194</t>
  </si>
  <si>
    <t>L195</t>
  </si>
  <si>
    <t>L196</t>
  </si>
  <si>
    <t>L197</t>
  </si>
  <si>
    <t>L198</t>
  </si>
  <si>
    <t>L199</t>
  </si>
  <si>
    <t>L200</t>
  </si>
  <si>
    <t>LinkedIn</t>
  </si>
  <si>
    <t>Website</t>
  </si>
  <si>
    <t>Google Ads</t>
  </si>
  <si>
    <t>Köln</t>
  </si>
  <si>
    <t>Bonn</t>
  </si>
  <si>
    <t>Hamburg</t>
  </si>
  <si>
    <t>Berlin</t>
  </si>
  <si>
    <t>München</t>
  </si>
  <si>
    <t>Frankfurt</t>
  </si>
  <si>
    <t>Aachen</t>
  </si>
  <si>
    <t>Gewonnen</t>
  </si>
  <si>
    <t>Verloren</t>
  </si>
  <si>
    <t>Offen</t>
  </si>
  <si>
    <t>IT</t>
  </si>
  <si>
    <t>Retail</t>
  </si>
  <si>
    <t>Finance</t>
  </si>
  <si>
    <t>Ja</t>
  </si>
  <si>
    <t>Nein</t>
  </si>
  <si>
    <t>Consulting</t>
  </si>
  <si>
    <t>Anna Keller</t>
  </si>
  <si>
    <t>David Braun</t>
  </si>
  <si>
    <t>Mia Hoffmann</t>
  </si>
  <si>
    <t>Jonas Weber</t>
  </si>
  <si>
    <t>Empfehlung</t>
  </si>
  <si>
    <t>Messe</t>
  </si>
  <si>
    <t>Manifacturing</t>
  </si>
  <si>
    <t>PL_Mitarbeiterzahl</t>
  </si>
  <si>
    <t>PL_Status_Conversion</t>
  </si>
  <si>
    <t>PL_Umsatzpotenzial</t>
  </si>
  <si>
    <t>CRM Lead Analye</t>
  </si>
  <si>
    <t>Kennzahl</t>
  </si>
  <si>
    <t>Wert</t>
  </si>
  <si>
    <t>Anzahl Leads</t>
  </si>
  <si>
    <t>Conversion Rate</t>
  </si>
  <si>
    <t>Gesamt-Umsatzpotenzial</t>
  </si>
  <si>
    <t>Conversions</t>
  </si>
  <si>
    <t>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</si>
</sst>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,,\ &quot;Mio.&quot;"/>
    <numFmt numFmtId="166" formatCode="0.0\ %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3" borderId="1" xfId="0" applyFill="1" applyBorder="1"/>
    <xf numFmtId="0" fontId="0" fillId="0" borderId="1" xfId="0" applyBorder="1"/>
    <xf numFmtId="14" fontId="0" fillId="0" borderId="0" xfId="0" applyNumberFormat="1"/>
    <xf numFmtId="14" fontId="0" fillId="3" borderId="1" xfId="0" applyNumberFormat="1" applyFill="1" applyBorder="1"/>
    <xf numFmtId="14" fontId="0" fillId="0" borderId="1" xfId="0" applyNumberFormat="1" applyBorder="1"/>
    <xf numFmtId="0" fontId="2" fillId="2" borderId="2" xfId="0" applyFont="1" applyFill="1" applyBorder="1"/>
    <xf numFmtId="0" fontId="0" fillId="0" borderId="3" xfId="0" applyBorder="1"/>
    <xf numFmtId="14" fontId="0" fillId="0" borderId="3" xfId="0" applyNumberFormat="1" applyBorder="1"/>
    <xf numFmtId="0" fontId="0" fillId="0" borderId="2" xfId="0" applyBorder="1"/>
    <xf numFmtId="164" fontId="0" fillId="0" borderId="0" xfId="1" applyNumberFormat="1" applyFont="1"/>
    <xf numFmtId="165" fontId="0" fillId="0" borderId="0" xfId="1" applyNumberFormat="1" applyFont="1"/>
    <xf numFmtId="166" fontId="0" fillId="0" borderId="0" xfId="1" applyNumberFormat="1" applyFont="1"/>
  </cellXfs>
  <cellStyles count="2">
    <cellStyle name="Prozent" xfId="1" builtinId="5"/>
    <cellStyle name="Standard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19" formatCode="dd/mm/yy"/>
    </dxf>
  </dxfs>
  <tableStyles count="0" defaultTableStyle="TableStyleMedium2" defaultPivotStyle="PivotStyleLight16"/>
  <colors>
    <mruColors>
      <color rgb="FF3A89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Conversion Rate nach Lead-Quelle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Analyse!$A$11:$A$15</c:f>
              <c:strCache>
                <c:ptCount val="5"/>
                <c:pt idx="0">
                  <c:v>Messe</c:v>
                </c:pt>
                <c:pt idx="1">
                  <c:v>LinkedIn</c:v>
                </c:pt>
                <c:pt idx="2">
                  <c:v>Google Ads</c:v>
                </c:pt>
                <c:pt idx="3">
                  <c:v>Website</c:v>
                </c:pt>
                <c:pt idx="4">
                  <c:v>Empfehlung</c:v>
                </c:pt>
              </c:strCache>
            </c:strRef>
          </c:cat>
          <c:val>
            <c:numRef>
              <c:f>Analyse!$D$11:$D$15</c:f>
              <c:numCache>
                <c:formatCode>0.0%</c:formatCode>
                <c:ptCount val="5"/>
                <c:pt idx="0">
                  <c:v>0.2857142857142857</c:v>
                </c:pt>
                <c:pt idx="1">
                  <c:v>0.34146341463414637</c:v>
                </c:pt>
                <c:pt idx="2">
                  <c:v>0.38636363636363635</c:v>
                </c:pt>
                <c:pt idx="3">
                  <c:v>0.44186046511627908</c:v>
                </c:pt>
                <c:pt idx="4">
                  <c:v>0.51351351351351349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7-9C40-9ED6-D8C58AA4F97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290473375"/>
        <c:axId val="1428900255"/>
      </c:barChart>
      <c:catAx>
        <c:axId val="1290473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28900255"/>
        <c:crosses val="autoZero"/>
        <c:auto val="1"/>
        <c:lblAlgn val="ctr"/>
        <c:lblOffset val="100"/>
        <c:noMultiLvlLbl val="0"/>
      </c:catAx>
      <c:valAx>
        <c:axId val="14289002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90473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Conversion</a:t>
            </a:r>
            <a:r>
              <a:rPr lang="de-DE" baseline="0"/>
              <a:t> Rate nach Sales Rep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Analyse!$A$19:$A$22</c:f>
              <c:strCache>
                <c:ptCount val="4"/>
                <c:pt idx="0">
                  <c:v>Jonas Weber</c:v>
                </c:pt>
                <c:pt idx="1">
                  <c:v>Mia Hoffmann</c:v>
                </c:pt>
                <c:pt idx="2">
                  <c:v>David Braun</c:v>
                </c:pt>
                <c:pt idx="3">
                  <c:v>Anna Keller</c:v>
                </c:pt>
              </c:strCache>
            </c:strRef>
          </c:cat>
          <c:val>
            <c:numRef>
              <c:f>Analyse!$D$19:$D$22</c:f>
              <c:numCache>
                <c:formatCode>0.0%</c:formatCode>
                <c:ptCount val="4"/>
                <c:pt idx="0">
                  <c:v>0.29268292682926828</c:v>
                </c:pt>
                <c:pt idx="1">
                  <c:v>0.36363636363636365</c:v>
                </c:pt>
                <c:pt idx="2">
                  <c:v>0.45098039215686275</c:v>
                </c:pt>
                <c:pt idx="3">
                  <c:v>0.45283018867924529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A-454B-9E2C-24E85D9D280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1072824735"/>
        <c:axId val="1685934095"/>
      </c:barChart>
      <c:catAx>
        <c:axId val="1072824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85934095"/>
        <c:crosses val="autoZero"/>
        <c:auto val="1"/>
        <c:lblAlgn val="ctr"/>
        <c:lblOffset val="100"/>
        <c:noMultiLvlLbl val="0"/>
      </c:catAx>
      <c:valAx>
        <c:axId val="168593409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728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Conversion Rate nach Branche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Analyse!$A$26:$A$30</c:f>
              <c:strCache>
                <c:ptCount val="5"/>
                <c:pt idx="0">
                  <c:v>Retail</c:v>
                </c:pt>
                <c:pt idx="1">
                  <c:v>Manufacturing</c:v>
                </c:pt>
                <c:pt idx="2">
                  <c:v>Finance</c:v>
                </c:pt>
                <c:pt idx="3">
                  <c:v>Consulting</c:v>
                </c:pt>
                <c:pt idx="4">
                  <c:v>IT</c:v>
                </c:pt>
              </c:strCache>
            </c:strRef>
          </c:cat>
          <c:val>
            <c:numRef>
              <c:f>Analyse!$D$26:$D$30</c:f>
              <c:numCache>
                <c:formatCode>0.0%</c:formatCode>
                <c:ptCount val="5"/>
                <c:pt idx="0">
                  <c:v>0.35135135135135137</c:v>
                </c:pt>
                <c:pt idx="1">
                  <c:v>0.35555555555555557</c:v>
                </c:pt>
                <c:pt idx="2">
                  <c:v>0.35714285714285715</c:v>
                </c:pt>
                <c:pt idx="3">
                  <c:v>0.36666666666666664</c:v>
                </c:pt>
                <c:pt idx="4">
                  <c:v>0.52173913043478259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0-F941-87AC-F833A047CD9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97699855"/>
        <c:axId val="962848223"/>
      </c:barChart>
      <c:catAx>
        <c:axId val="1097699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62848223"/>
        <c:crosses val="autoZero"/>
        <c:auto val="1"/>
        <c:lblAlgn val="ctr"/>
        <c:lblOffset val="100"/>
        <c:noMultiLvlLbl val="0"/>
      </c:catAx>
      <c:valAx>
        <c:axId val="96284822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97699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2200"/>
              <a:t>Conversion</a:t>
            </a:r>
            <a:r>
              <a:rPr lang="de-DE" sz="2200" baseline="0"/>
              <a:t> Rate nach Sales Rep</a:t>
            </a:r>
            <a:endParaRPr lang="de-DE" sz="2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3A89F5">
                <a:alpha val="87000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A89F5">
                  <a:alpha val="87000"/>
                </a:srgb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2E7-664A-BFBB-5B84C48137CE}"/>
              </c:ext>
            </c:extLst>
          </c:dPt>
          <c:dPt>
            <c:idx val="1"/>
            <c:invertIfNegative val="0"/>
            <c:bubble3D val="0"/>
            <c:spPr>
              <a:solidFill>
                <a:srgbClr val="3A89F5">
                  <a:alpha val="87000"/>
                </a:srgb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2E7-664A-BFBB-5B84C48137CE}"/>
              </c:ext>
            </c:extLst>
          </c:dPt>
          <c:dPt>
            <c:idx val="2"/>
            <c:invertIfNegative val="0"/>
            <c:bubble3D val="0"/>
            <c:spPr>
              <a:solidFill>
                <a:srgbClr val="3A89F5">
                  <a:alpha val="87000"/>
                </a:srgb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2E7-664A-BFBB-5B84C48137CE}"/>
              </c:ext>
            </c:extLst>
          </c:dPt>
          <c:dPt>
            <c:idx val="3"/>
            <c:invertIfNegative val="0"/>
            <c:bubble3D val="0"/>
            <c:spPr>
              <a:solidFill>
                <a:srgbClr val="3A89F5">
                  <a:alpha val="87000"/>
                </a:srgb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12E7-664A-BFBB-5B84C48137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Analyse!$A$19:$A$22</c:f>
              <c:strCache>
                <c:ptCount val="4"/>
                <c:pt idx="0">
                  <c:v>Jonas Weber</c:v>
                </c:pt>
                <c:pt idx="1">
                  <c:v>Mia Hoffmann</c:v>
                </c:pt>
                <c:pt idx="2">
                  <c:v>David Braun</c:v>
                </c:pt>
                <c:pt idx="3">
                  <c:v>Anna Keller</c:v>
                </c:pt>
              </c:strCache>
            </c:strRef>
          </c:cat>
          <c:val>
            <c:numRef>
              <c:f>Analyse!$D$19:$D$22</c:f>
              <c:numCache>
                <c:formatCode>0.0%</c:formatCode>
                <c:ptCount val="4"/>
                <c:pt idx="0">
                  <c:v>0.29268292682926828</c:v>
                </c:pt>
                <c:pt idx="1">
                  <c:v>0.36363636363636365</c:v>
                </c:pt>
                <c:pt idx="2">
                  <c:v>0.45098039215686275</c:v>
                </c:pt>
                <c:pt idx="3">
                  <c:v>0.45283018867924529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2E7-664A-BFBB-5B84C48137C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90"/>
        <c:axId val="1072824735"/>
        <c:axId val="1685934095"/>
      </c:barChart>
      <c:catAx>
        <c:axId val="1072824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85934095"/>
        <c:crosses val="autoZero"/>
        <c:auto val="1"/>
        <c:lblAlgn val="ctr"/>
        <c:lblOffset val="100"/>
        <c:noMultiLvlLbl val="0"/>
      </c:catAx>
      <c:valAx>
        <c:axId val="168593409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72824735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>
      <a:softEdge rad="0"/>
    </a:effectLst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2200"/>
              <a:t>Conversion Rate nach Lead-Quelle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3A89F5">
                <a:alpha val="87000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A89F5">
                  <a:alpha val="87000"/>
                </a:srgb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451-BD47-9FFD-9462BE4454C3}"/>
              </c:ext>
            </c:extLst>
          </c:dPt>
          <c:dPt>
            <c:idx val="1"/>
            <c:invertIfNegative val="0"/>
            <c:bubble3D val="0"/>
            <c:spPr>
              <a:solidFill>
                <a:srgbClr val="3A89F5">
                  <a:alpha val="87000"/>
                </a:srgb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451-BD47-9FFD-9462BE4454C3}"/>
              </c:ext>
            </c:extLst>
          </c:dPt>
          <c:dPt>
            <c:idx val="2"/>
            <c:invertIfNegative val="0"/>
            <c:bubble3D val="0"/>
            <c:spPr>
              <a:solidFill>
                <a:srgbClr val="3A89F5">
                  <a:alpha val="87000"/>
                </a:srgb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451-BD47-9FFD-9462BE4454C3}"/>
              </c:ext>
            </c:extLst>
          </c:dPt>
          <c:dPt>
            <c:idx val="3"/>
            <c:invertIfNegative val="0"/>
            <c:bubble3D val="0"/>
            <c:spPr>
              <a:solidFill>
                <a:srgbClr val="3A89F5">
                  <a:alpha val="87000"/>
                </a:srgb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6451-BD47-9FFD-9462BE4454C3}"/>
              </c:ext>
            </c:extLst>
          </c:dPt>
          <c:dPt>
            <c:idx val="4"/>
            <c:invertIfNegative val="0"/>
            <c:bubble3D val="0"/>
            <c:spPr>
              <a:solidFill>
                <a:srgbClr val="3A89F5">
                  <a:alpha val="87000"/>
                </a:srgb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6451-BD47-9FFD-9462BE4454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Analyse!$A$11:$A$15</c:f>
              <c:strCache>
                <c:ptCount val="5"/>
                <c:pt idx="0">
                  <c:v>Messe</c:v>
                </c:pt>
                <c:pt idx="1">
                  <c:v>LinkedIn</c:v>
                </c:pt>
                <c:pt idx="2">
                  <c:v>Google Ads</c:v>
                </c:pt>
                <c:pt idx="3">
                  <c:v>Website</c:v>
                </c:pt>
                <c:pt idx="4">
                  <c:v>Empfehlung</c:v>
                </c:pt>
              </c:strCache>
            </c:strRef>
          </c:cat>
          <c:val>
            <c:numRef>
              <c:f>Analyse!$D$11:$D$15</c:f>
              <c:numCache>
                <c:formatCode>0.0%</c:formatCode>
                <c:ptCount val="5"/>
                <c:pt idx="0">
                  <c:v>0.2857142857142857</c:v>
                </c:pt>
                <c:pt idx="1">
                  <c:v>0.34146341463414637</c:v>
                </c:pt>
                <c:pt idx="2">
                  <c:v>0.38636363636363635</c:v>
                </c:pt>
                <c:pt idx="3">
                  <c:v>0.44186046511627908</c:v>
                </c:pt>
                <c:pt idx="4">
                  <c:v>0.51351351351351349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451-BD47-9FFD-9462BE4454C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290473375"/>
        <c:axId val="1428900255"/>
      </c:barChart>
      <c:catAx>
        <c:axId val="1290473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28900255"/>
        <c:crosses val="autoZero"/>
        <c:auto val="1"/>
        <c:lblAlgn val="ctr"/>
        <c:lblOffset val="100"/>
        <c:noMultiLvlLbl val="0"/>
      </c:catAx>
      <c:valAx>
        <c:axId val="14289002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90473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2200"/>
              <a:t>Conversion Rate nach Branche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3A89F5">
                <a:alpha val="87000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Analyse!$A$26:$A$30</c:f>
              <c:strCache>
                <c:ptCount val="5"/>
                <c:pt idx="0">
                  <c:v>Retail</c:v>
                </c:pt>
                <c:pt idx="1">
                  <c:v>Manufacturing</c:v>
                </c:pt>
                <c:pt idx="2">
                  <c:v>Finance</c:v>
                </c:pt>
                <c:pt idx="3">
                  <c:v>Consulting</c:v>
                </c:pt>
                <c:pt idx="4">
                  <c:v>IT</c:v>
                </c:pt>
              </c:strCache>
            </c:strRef>
          </c:cat>
          <c:val>
            <c:numRef>
              <c:f>Analyse!$D$26:$D$30</c:f>
              <c:numCache>
                <c:formatCode>0.0%</c:formatCode>
                <c:ptCount val="5"/>
                <c:pt idx="0">
                  <c:v>0.35135135135135137</c:v>
                </c:pt>
                <c:pt idx="1">
                  <c:v>0.35555555555555557</c:v>
                </c:pt>
                <c:pt idx="2">
                  <c:v>0.35714285714285715</c:v>
                </c:pt>
                <c:pt idx="3">
                  <c:v>0.36666666666666664</c:v>
                </c:pt>
                <c:pt idx="4">
                  <c:v>0.52173913043478259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F0-B746-B10A-A12B6399798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97699855"/>
        <c:axId val="962848223"/>
      </c:barChart>
      <c:catAx>
        <c:axId val="1097699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62848223"/>
        <c:crosses val="autoZero"/>
        <c:auto val="1"/>
        <c:lblAlgn val="ctr"/>
        <c:lblOffset val="100"/>
        <c:noMultiLvlLbl val="0"/>
      </c:catAx>
      <c:valAx>
        <c:axId val="96284822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97699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6.xml"/><Relationship Id="rId5" Type="http://schemas.openxmlformats.org/officeDocument/2006/relationships/image" Target="../media/image5.png"/><Relationship Id="rId10" Type="http://schemas.openxmlformats.org/officeDocument/2006/relationships/chart" Target="../charts/chart5.xml"/><Relationship Id="rId4" Type="http://schemas.openxmlformats.org/officeDocument/2006/relationships/image" Target="../media/image4.svg"/><Relationship Id="rId9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</xdr:colOff>
      <xdr:row>1</xdr:row>
      <xdr:rowOff>0</xdr:rowOff>
    </xdr:from>
    <xdr:to>
      <xdr:col>11</xdr:col>
      <xdr:colOff>457200</xdr:colOff>
      <xdr:row>14</xdr:row>
      <xdr:rowOff>101600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5475417-A750-0A4C-8653-B023C3C70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6350</xdr:colOff>
      <xdr:row>15</xdr:row>
      <xdr:rowOff>12700</xdr:rowOff>
    </xdr:from>
    <xdr:to>
      <xdr:col>11</xdr:col>
      <xdr:colOff>450850</xdr:colOff>
      <xdr:row>28</xdr:row>
      <xdr:rowOff>114300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7BE57BDB-7DB7-D561-9279-DBFB7E3FB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19050</xdr:colOff>
      <xdr:row>29</xdr:row>
      <xdr:rowOff>12700</xdr:rowOff>
    </xdr:from>
    <xdr:to>
      <xdr:col>11</xdr:col>
      <xdr:colOff>463550</xdr:colOff>
      <xdr:row>42</xdr:row>
      <xdr:rowOff>114300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F42F59E8-6E10-B0C2-47C8-84F8E75FA2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267369</xdr:colOff>
      <xdr:row>9</xdr:row>
      <xdr:rowOff>140496</xdr:rowOff>
    </xdr:from>
    <xdr:to>
      <xdr:col>6</xdr:col>
      <xdr:colOff>606036</xdr:colOff>
      <xdr:row>17</xdr:row>
      <xdr:rowOff>69376</xdr:rowOff>
    </xdr:to>
    <xdr:grpSp>
      <xdr:nvGrpSpPr>
        <xdr:cNvPr id="4" name="Group 30">
          <a:extLst>
            <a:ext uri="{FF2B5EF4-FFF2-40B4-BE49-F238E27FC236}">
              <a16:creationId xmlns:a16="http://schemas.microsoft.com/office/drawing/2014/main" id="{CDBFF8B0-87C0-CDD7-D9E6-38C13D0A87E9}"/>
            </a:ext>
          </a:extLst>
        </xdr:cNvPr>
        <xdr:cNvGrpSpPr/>
      </xdr:nvGrpSpPr>
      <xdr:grpSpPr>
        <a:xfrm>
          <a:off x="1929344" y="1974940"/>
          <a:ext cx="3662618" cy="1559498"/>
          <a:chOff x="0" y="-38100"/>
          <a:chExt cx="921600" cy="565607"/>
        </a:xfrm>
      </xdr:grpSpPr>
      <xdr:sp macro="" textlink="">
        <xdr:nvSpPr>
          <xdr:cNvPr id="18" name="Freeform 31">
            <a:extLst>
              <a:ext uri="{FF2B5EF4-FFF2-40B4-BE49-F238E27FC236}">
                <a16:creationId xmlns:a16="http://schemas.microsoft.com/office/drawing/2014/main" id="{C057A143-D657-27C6-0930-4227F20BC9F8}"/>
              </a:ext>
            </a:extLst>
          </xdr:cNvPr>
          <xdr:cNvSpPr/>
        </xdr:nvSpPr>
        <xdr:spPr>
          <a:xfrm>
            <a:off x="0" y="0"/>
            <a:ext cx="921600" cy="527507"/>
          </a:xfrm>
          <a:custGeom>
            <a:avLst/>
            <a:gdLst/>
            <a:ahLst/>
            <a:cxnLst/>
            <a:rect l="l" t="t" r="r" b="b"/>
            <a:pathLst>
              <a:path w="921600" h="527507">
                <a:moveTo>
                  <a:pt x="59737" y="0"/>
                </a:moveTo>
                <a:lnTo>
                  <a:pt x="861863" y="0"/>
                </a:lnTo>
                <a:cubicBezTo>
                  <a:pt x="894855" y="0"/>
                  <a:pt x="921600" y="26745"/>
                  <a:pt x="921600" y="59737"/>
                </a:cubicBezTo>
                <a:lnTo>
                  <a:pt x="921600" y="467770"/>
                </a:lnTo>
                <a:cubicBezTo>
                  <a:pt x="921600" y="500762"/>
                  <a:pt x="894855" y="527507"/>
                  <a:pt x="861863" y="527507"/>
                </a:cubicBezTo>
                <a:lnTo>
                  <a:pt x="59737" y="527507"/>
                </a:lnTo>
                <a:cubicBezTo>
                  <a:pt x="26745" y="527507"/>
                  <a:pt x="0" y="500762"/>
                  <a:pt x="0" y="467770"/>
                </a:cubicBezTo>
                <a:lnTo>
                  <a:pt x="0" y="59737"/>
                </a:lnTo>
                <a:cubicBezTo>
                  <a:pt x="0" y="26745"/>
                  <a:pt x="26745" y="0"/>
                  <a:pt x="59737" y="0"/>
                </a:cubicBezTo>
                <a:close/>
              </a:path>
            </a:pathLst>
          </a:custGeom>
          <a:gradFill rotWithShape="1">
            <a:gsLst>
              <a:gs pos="0">
                <a:srgbClr val="0052CC">
                  <a:alpha val="100000"/>
                </a:srgbClr>
              </a:gs>
              <a:gs pos="100000">
                <a:srgbClr val="4A98FF">
                  <a:alpha val="100000"/>
                </a:srgbClr>
              </a:gs>
            </a:gsLst>
            <a:lin ang="5400000"/>
          </a:gra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de-DE"/>
          </a:p>
        </xdr:txBody>
      </xdr:sp>
      <xdr:sp macro="" textlink="">
        <xdr:nvSpPr>
          <xdr:cNvPr id="19" name="TextBox 32">
            <a:extLst>
              <a:ext uri="{FF2B5EF4-FFF2-40B4-BE49-F238E27FC236}">
                <a16:creationId xmlns:a16="http://schemas.microsoft.com/office/drawing/2014/main" id="{CEF61674-E878-1F5B-97BD-CCB8046C14A4}"/>
              </a:ext>
            </a:extLst>
          </xdr:cNvPr>
          <xdr:cNvSpPr txBox="1"/>
        </xdr:nvSpPr>
        <xdr:spPr>
          <a:xfrm>
            <a:off x="0" y="-38100"/>
            <a:ext cx="921600" cy="565607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820"/>
              </a:lnSpc>
            </a:pPr>
            <a:endParaRPr/>
          </a:p>
        </xdr:txBody>
      </xdr:sp>
    </xdr:grpSp>
    <xdr:clientData/>
  </xdr:twoCellAnchor>
  <xdr:twoCellAnchor>
    <xdr:from>
      <xdr:col>7</xdr:col>
      <xdr:colOff>195364</xdr:colOff>
      <xdr:row>9</xdr:row>
      <xdr:rowOff>140496</xdr:rowOff>
    </xdr:from>
    <xdr:to>
      <xdr:col>11</xdr:col>
      <xdr:colOff>534030</xdr:colOff>
      <xdr:row>17</xdr:row>
      <xdr:rowOff>69376</xdr:rowOff>
    </xdr:to>
    <xdr:grpSp>
      <xdr:nvGrpSpPr>
        <xdr:cNvPr id="5" name="Group 37">
          <a:extLst>
            <a:ext uri="{FF2B5EF4-FFF2-40B4-BE49-F238E27FC236}">
              <a16:creationId xmlns:a16="http://schemas.microsoft.com/office/drawing/2014/main" id="{90C382C0-F085-8A6B-F86C-ABAEB6F75573}"/>
            </a:ext>
          </a:extLst>
        </xdr:cNvPr>
        <xdr:cNvGrpSpPr/>
      </xdr:nvGrpSpPr>
      <xdr:grpSpPr>
        <a:xfrm>
          <a:off x="6012278" y="1974940"/>
          <a:ext cx="3662616" cy="1559498"/>
          <a:chOff x="0" y="-38100"/>
          <a:chExt cx="921600" cy="565607"/>
        </a:xfrm>
      </xdr:grpSpPr>
      <xdr:sp macro="" textlink="">
        <xdr:nvSpPr>
          <xdr:cNvPr id="16" name="Freeform 38">
            <a:extLst>
              <a:ext uri="{FF2B5EF4-FFF2-40B4-BE49-F238E27FC236}">
                <a16:creationId xmlns:a16="http://schemas.microsoft.com/office/drawing/2014/main" id="{5CDC572A-1139-37F2-FBBF-94A51AA0619A}"/>
              </a:ext>
            </a:extLst>
          </xdr:cNvPr>
          <xdr:cNvSpPr/>
        </xdr:nvSpPr>
        <xdr:spPr>
          <a:xfrm>
            <a:off x="0" y="0"/>
            <a:ext cx="921600" cy="527507"/>
          </a:xfrm>
          <a:custGeom>
            <a:avLst/>
            <a:gdLst/>
            <a:ahLst/>
            <a:cxnLst/>
            <a:rect l="l" t="t" r="r" b="b"/>
            <a:pathLst>
              <a:path w="921600" h="527507">
                <a:moveTo>
                  <a:pt x="59737" y="0"/>
                </a:moveTo>
                <a:lnTo>
                  <a:pt x="861863" y="0"/>
                </a:lnTo>
                <a:cubicBezTo>
                  <a:pt x="894855" y="0"/>
                  <a:pt x="921600" y="26745"/>
                  <a:pt x="921600" y="59737"/>
                </a:cubicBezTo>
                <a:lnTo>
                  <a:pt x="921600" y="467770"/>
                </a:lnTo>
                <a:cubicBezTo>
                  <a:pt x="921600" y="500762"/>
                  <a:pt x="894855" y="527507"/>
                  <a:pt x="861863" y="527507"/>
                </a:cubicBezTo>
                <a:lnTo>
                  <a:pt x="59737" y="527507"/>
                </a:lnTo>
                <a:cubicBezTo>
                  <a:pt x="26745" y="527507"/>
                  <a:pt x="0" y="500762"/>
                  <a:pt x="0" y="467770"/>
                </a:cubicBezTo>
                <a:lnTo>
                  <a:pt x="0" y="59737"/>
                </a:lnTo>
                <a:cubicBezTo>
                  <a:pt x="0" y="26745"/>
                  <a:pt x="26745" y="0"/>
                  <a:pt x="59737" y="0"/>
                </a:cubicBezTo>
                <a:close/>
              </a:path>
            </a:pathLst>
          </a:custGeom>
          <a:solidFill>
            <a:srgbClr val="F6F6F6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de-DE"/>
          </a:p>
        </xdr:txBody>
      </xdr:sp>
      <xdr:sp macro="" textlink="">
        <xdr:nvSpPr>
          <xdr:cNvPr id="17" name="TextBox 39">
            <a:extLst>
              <a:ext uri="{FF2B5EF4-FFF2-40B4-BE49-F238E27FC236}">
                <a16:creationId xmlns:a16="http://schemas.microsoft.com/office/drawing/2014/main" id="{0FBED706-6FFB-E95B-8979-637FDFC1C90B}"/>
              </a:ext>
            </a:extLst>
          </xdr:cNvPr>
          <xdr:cNvSpPr txBox="1"/>
        </xdr:nvSpPr>
        <xdr:spPr>
          <a:xfrm>
            <a:off x="0" y="-38100"/>
            <a:ext cx="921600" cy="565607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820"/>
              </a:lnSpc>
            </a:pPr>
            <a:endParaRPr/>
          </a:p>
        </xdr:txBody>
      </xdr:sp>
    </xdr:grpSp>
    <xdr:clientData/>
  </xdr:twoCellAnchor>
  <xdr:twoCellAnchor>
    <xdr:from>
      <xdr:col>12</xdr:col>
      <xdr:colOff>124700</xdr:colOff>
      <xdr:row>9</xdr:row>
      <xdr:rowOff>140496</xdr:rowOff>
    </xdr:from>
    <xdr:to>
      <xdr:col>16</xdr:col>
      <xdr:colOff>463367</xdr:colOff>
      <xdr:row>17</xdr:row>
      <xdr:rowOff>69376</xdr:rowOff>
    </xdr:to>
    <xdr:grpSp>
      <xdr:nvGrpSpPr>
        <xdr:cNvPr id="6" name="Group 44">
          <a:extLst>
            <a:ext uri="{FF2B5EF4-FFF2-40B4-BE49-F238E27FC236}">
              <a16:creationId xmlns:a16="http://schemas.microsoft.com/office/drawing/2014/main" id="{81C0C315-CACB-F3EB-6D65-23238C8F837A}"/>
            </a:ext>
          </a:extLst>
        </xdr:cNvPr>
        <xdr:cNvGrpSpPr/>
      </xdr:nvGrpSpPr>
      <xdr:grpSpPr>
        <a:xfrm>
          <a:off x="10096552" y="1974940"/>
          <a:ext cx="3662617" cy="1559498"/>
          <a:chOff x="0" y="-38100"/>
          <a:chExt cx="921600" cy="565607"/>
        </a:xfrm>
      </xdr:grpSpPr>
      <xdr:sp macro="" textlink="">
        <xdr:nvSpPr>
          <xdr:cNvPr id="14" name="Freeform 45">
            <a:extLst>
              <a:ext uri="{FF2B5EF4-FFF2-40B4-BE49-F238E27FC236}">
                <a16:creationId xmlns:a16="http://schemas.microsoft.com/office/drawing/2014/main" id="{7AB75E2D-EDD8-B8A7-F8EB-324EE098A385}"/>
              </a:ext>
            </a:extLst>
          </xdr:cNvPr>
          <xdr:cNvSpPr/>
        </xdr:nvSpPr>
        <xdr:spPr>
          <a:xfrm>
            <a:off x="0" y="0"/>
            <a:ext cx="921600" cy="527507"/>
          </a:xfrm>
          <a:custGeom>
            <a:avLst/>
            <a:gdLst/>
            <a:ahLst/>
            <a:cxnLst/>
            <a:rect l="l" t="t" r="r" b="b"/>
            <a:pathLst>
              <a:path w="921600" h="527507">
                <a:moveTo>
                  <a:pt x="59737" y="0"/>
                </a:moveTo>
                <a:lnTo>
                  <a:pt x="861863" y="0"/>
                </a:lnTo>
                <a:cubicBezTo>
                  <a:pt x="894855" y="0"/>
                  <a:pt x="921600" y="26745"/>
                  <a:pt x="921600" y="59737"/>
                </a:cubicBezTo>
                <a:lnTo>
                  <a:pt x="921600" y="467770"/>
                </a:lnTo>
                <a:cubicBezTo>
                  <a:pt x="921600" y="500762"/>
                  <a:pt x="894855" y="527507"/>
                  <a:pt x="861863" y="527507"/>
                </a:cubicBezTo>
                <a:lnTo>
                  <a:pt x="59737" y="527507"/>
                </a:lnTo>
                <a:cubicBezTo>
                  <a:pt x="26745" y="527507"/>
                  <a:pt x="0" y="500762"/>
                  <a:pt x="0" y="467770"/>
                </a:cubicBezTo>
                <a:lnTo>
                  <a:pt x="0" y="59737"/>
                </a:lnTo>
                <a:cubicBezTo>
                  <a:pt x="0" y="26745"/>
                  <a:pt x="26745" y="0"/>
                  <a:pt x="59737" y="0"/>
                </a:cubicBezTo>
                <a:close/>
              </a:path>
            </a:pathLst>
          </a:custGeom>
          <a:solidFill>
            <a:srgbClr val="F6F6F6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de-DE"/>
          </a:p>
        </xdr:txBody>
      </xdr:sp>
      <xdr:sp macro="" textlink="">
        <xdr:nvSpPr>
          <xdr:cNvPr id="15" name="TextBox 46">
            <a:extLst>
              <a:ext uri="{FF2B5EF4-FFF2-40B4-BE49-F238E27FC236}">
                <a16:creationId xmlns:a16="http://schemas.microsoft.com/office/drawing/2014/main" id="{A7D8DE90-E161-4F5B-FDA0-3C1C4CEFB57A}"/>
              </a:ext>
            </a:extLst>
          </xdr:cNvPr>
          <xdr:cNvSpPr txBox="1"/>
        </xdr:nvSpPr>
        <xdr:spPr>
          <a:xfrm>
            <a:off x="0" y="-38100"/>
            <a:ext cx="921600" cy="565607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820"/>
              </a:lnSpc>
            </a:pPr>
            <a:endParaRPr/>
          </a:p>
        </xdr:txBody>
      </xdr:sp>
    </xdr:grpSp>
    <xdr:clientData/>
  </xdr:twoCellAnchor>
  <xdr:twoCellAnchor>
    <xdr:from>
      <xdr:col>17</xdr:col>
      <xdr:colOff>49054</xdr:colOff>
      <xdr:row>9</xdr:row>
      <xdr:rowOff>140496</xdr:rowOff>
    </xdr:from>
    <xdr:to>
      <xdr:col>21</xdr:col>
      <xdr:colOff>387721</xdr:colOff>
      <xdr:row>17</xdr:row>
      <xdr:rowOff>69376</xdr:rowOff>
    </xdr:to>
    <xdr:grpSp>
      <xdr:nvGrpSpPr>
        <xdr:cNvPr id="7" name="Group 51">
          <a:extLst>
            <a:ext uri="{FF2B5EF4-FFF2-40B4-BE49-F238E27FC236}">
              <a16:creationId xmlns:a16="http://schemas.microsoft.com/office/drawing/2014/main" id="{8AE4000E-8F7B-7584-2ED3-9D55FC3235A4}"/>
            </a:ext>
          </a:extLst>
        </xdr:cNvPr>
        <xdr:cNvGrpSpPr/>
      </xdr:nvGrpSpPr>
      <xdr:grpSpPr>
        <a:xfrm>
          <a:off x="14175844" y="1974940"/>
          <a:ext cx="3662618" cy="1559498"/>
          <a:chOff x="0" y="-38100"/>
          <a:chExt cx="921600" cy="565607"/>
        </a:xfrm>
      </xdr:grpSpPr>
      <xdr:sp macro="" textlink="">
        <xdr:nvSpPr>
          <xdr:cNvPr id="12" name="Freeform 52">
            <a:extLst>
              <a:ext uri="{FF2B5EF4-FFF2-40B4-BE49-F238E27FC236}">
                <a16:creationId xmlns:a16="http://schemas.microsoft.com/office/drawing/2014/main" id="{8FB9CC99-9812-5519-B849-77AA5AF2CE75}"/>
              </a:ext>
            </a:extLst>
          </xdr:cNvPr>
          <xdr:cNvSpPr/>
        </xdr:nvSpPr>
        <xdr:spPr>
          <a:xfrm>
            <a:off x="0" y="0"/>
            <a:ext cx="921600" cy="527507"/>
          </a:xfrm>
          <a:custGeom>
            <a:avLst/>
            <a:gdLst/>
            <a:ahLst/>
            <a:cxnLst/>
            <a:rect l="l" t="t" r="r" b="b"/>
            <a:pathLst>
              <a:path w="921600" h="527507">
                <a:moveTo>
                  <a:pt x="59737" y="0"/>
                </a:moveTo>
                <a:lnTo>
                  <a:pt x="861863" y="0"/>
                </a:lnTo>
                <a:cubicBezTo>
                  <a:pt x="894855" y="0"/>
                  <a:pt x="921600" y="26745"/>
                  <a:pt x="921600" y="59737"/>
                </a:cubicBezTo>
                <a:lnTo>
                  <a:pt x="921600" y="467770"/>
                </a:lnTo>
                <a:cubicBezTo>
                  <a:pt x="921600" y="500762"/>
                  <a:pt x="894855" y="527507"/>
                  <a:pt x="861863" y="527507"/>
                </a:cubicBezTo>
                <a:lnTo>
                  <a:pt x="59737" y="527507"/>
                </a:lnTo>
                <a:cubicBezTo>
                  <a:pt x="26745" y="527507"/>
                  <a:pt x="0" y="500762"/>
                  <a:pt x="0" y="467770"/>
                </a:cubicBezTo>
                <a:lnTo>
                  <a:pt x="0" y="59737"/>
                </a:lnTo>
                <a:cubicBezTo>
                  <a:pt x="0" y="26745"/>
                  <a:pt x="26745" y="0"/>
                  <a:pt x="59737" y="0"/>
                </a:cubicBezTo>
                <a:close/>
              </a:path>
            </a:pathLst>
          </a:custGeom>
          <a:solidFill>
            <a:srgbClr val="F6F6F6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de-DE"/>
          </a:p>
        </xdr:txBody>
      </xdr:sp>
      <xdr:sp macro="" textlink="">
        <xdr:nvSpPr>
          <xdr:cNvPr id="13" name="TextBox 53">
            <a:extLst>
              <a:ext uri="{FF2B5EF4-FFF2-40B4-BE49-F238E27FC236}">
                <a16:creationId xmlns:a16="http://schemas.microsoft.com/office/drawing/2014/main" id="{671AD613-0A59-05E2-F32F-0028AAEDF6F1}"/>
              </a:ext>
            </a:extLst>
          </xdr:cNvPr>
          <xdr:cNvSpPr txBox="1"/>
        </xdr:nvSpPr>
        <xdr:spPr>
          <a:xfrm>
            <a:off x="0" y="-38100"/>
            <a:ext cx="921600" cy="565607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1820"/>
              </a:lnSpc>
            </a:pPr>
            <a:endParaRPr/>
          </a:p>
        </xdr:txBody>
      </xdr:sp>
    </xdr:grpSp>
    <xdr:clientData/>
  </xdr:twoCellAnchor>
  <xdr:twoCellAnchor>
    <xdr:from>
      <xdr:col>13</xdr:col>
      <xdr:colOff>396258</xdr:colOff>
      <xdr:row>25</xdr:row>
      <xdr:rowOff>105170</xdr:rowOff>
    </xdr:from>
    <xdr:to>
      <xdr:col>18</xdr:col>
      <xdr:colOff>628068</xdr:colOff>
      <xdr:row>38</xdr:row>
      <xdr:rowOff>50739</xdr:rowOff>
    </xdr:to>
    <xdr:sp macro="" textlink="">
      <xdr:nvSpPr>
        <xdr:cNvPr id="11" name="TextBox 61">
          <a:extLst>
            <a:ext uri="{FF2B5EF4-FFF2-40B4-BE49-F238E27FC236}">
              <a16:creationId xmlns:a16="http://schemas.microsoft.com/office/drawing/2014/main" id="{06AAAF99-52AF-FF0D-FEA4-D64A11DB62FD}"/>
            </a:ext>
          </a:extLst>
        </xdr:cNvPr>
        <xdr:cNvSpPr txBox="1"/>
      </xdr:nvSpPr>
      <xdr:spPr>
        <a:xfrm>
          <a:off x="11127758" y="5185170"/>
          <a:ext cx="4359310" cy="2587169"/>
        </a:xfrm>
        <a:prstGeom prst="rect">
          <a:avLst/>
        </a:prstGeom>
      </xdr:spPr>
      <xdr:txBody>
        <a:bodyPr wrap="square" lIns="50800" tIns="50800" rIns="50800" bIns="5080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820"/>
            </a:lnSpc>
          </a:pPr>
          <a:endParaRPr/>
        </a:p>
      </xdr:txBody>
    </xdr:sp>
    <xdr:clientData/>
  </xdr:twoCellAnchor>
  <xdr:twoCellAnchor>
    <xdr:from>
      <xdr:col>5</xdr:col>
      <xdr:colOff>752427</xdr:colOff>
      <xdr:row>10</xdr:row>
      <xdr:rowOff>158738</xdr:rowOff>
    </xdr:from>
    <xdr:to>
      <xdr:col>6</xdr:col>
      <xdr:colOff>357035</xdr:colOff>
      <xdr:row>12</xdr:row>
      <xdr:rowOff>166178</xdr:rowOff>
    </xdr:to>
    <xdr:grpSp>
      <xdr:nvGrpSpPr>
        <xdr:cNvPr id="54" name="Group 34">
          <a:extLst>
            <a:ext uri="{FF2B5EF4-FFF2-40B4-BE49-F238E27FC236}">
              <a16:creationId xmlns:a16="http://schemas.microsoft.com/office/drawing/2014/main" id="{E9783399-7546-8A8C-A29B-674FBD561DAC}"/>
            </a:ext>
          </a:extLst>
        </xdr:cNvPr>
        <xdr:cNvGrpSpPr/>
      </xdr:nvGrpSpPr>
      <xdr:grpSpPr>
        <a:xfrm>
          <a:off x="4907365" y="2197010"/>
          <a:ext cx="435596" cy="415094"/>
          <a:chOff x="0" y="0"/>
          <a:chExt cx="812800" cy="812800"/>
        </a:xfrm>
      </xdr:grpSpPr>
      <xdr:sp macro="" textlink="">
        <xdr:nvSpPr>
          <xdr:cNvPr id="80" name="Freeform 35">
            <a:extLst>
              <a:ext uri="{FF2B5EF4-FFF2-40B4-BE49-F238E27FC236}">
                <a16:creationId xmlns:a16="http://schemas.microsoft.com/office/drawing/2014/main" id="{9E526C04-33D8-8ADB-5E11-AC13CB7BCEB6}"/>
              </a:ext>
            </a:extLst>
          </xdr:cNvPr>
          <xdr:cNvSpPr/>
        </xdr:nvSpPr>
        <xdr:spPr>
          <a:xfrm>
            <a:off x="0" y="0"/>
            <a:ext cx="812800" cy="812800"/>
          </a:xfrm>
          <a:custGeom>
            <a:avLst/>
            <a:gdLst/>
            <a:ahLst/>
            <a:cxnLst/>
            <a:rect l="l" t="t" r="r" b="b"/>
            <a:pathLst>
              <a:path w="812800" h="812800">
                <a:moveTo>
                  <a:pt x="406400" y="0"/>
                </a:moveTo>
                <a:cubicBezTo>
                  <a:pt x="181951" y="0"/>
                  <a:pt x="0" y="181951"/>
                  <a:pt x="0" y="406400"/>
                </a:cubicBezTo>
                <a:cubicBezTo>
                  <a:pt x="0" y="630849"/>
                  <a:pt x="181951" y="812800"/>
                  <a:pt x="406400" y="812800"/>
                </a:cubicBezTo>
                <a:cubicBezTo>
                  <a:pt x="630849" y="812800"/>
                  <a:pt x="812800" y="630849"/>
                  <a:pt x="812800" y="406400"/>
                </a:cubicBezTo>
                <a:cubicBezTo>
                  <a:pt x="812800" y="181951"/>
                  <a:pt x="630849" y="0"/>
                  <a:pt x="406400" y="0"/>
                </a:cubicBezTo>
                <a:close/>
              </a:path>
            </a:pathLst>
          </a:custGeom>
          <a:solidFill>
            <a:srgbClr val="FFFFFF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de-DE"/>
          </a:p>
        </xdr:txBody>
      </xdr:sp>
      <xdr:sp macro="" textlink="">
        <xdr:nvSpPr>
          <xdr:cNvPr id="81" name="TextBox 36">
            <a:extLst>
              <a:ext uri="{FF2B5EF4-FFF2-40B4-BE49-F238E27FC236}">
                <a16:creationId xmlns:a16="http://schemas.microsoft.com/office/drawing/2014/main" id="{AF3C30FB-3C97-06CF-A6AA-34099E144ACE}"/>
              </a:ext>
            </a:extLst>
          </xdr:cNvPr>
          <xdr:cNvSpPr txBox="1"/>
        </xdr:nvSpPr>
        <xdr:spPr>
          <a:xfrm>
            <a:off x="76200" y="38100"/>
            <a:ext cx="660400" cy="698500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2239"/>
              </a:lnSpc>
            </a:pPr>
            <a:endParaRPr/>
          </a:p>
        </xdr:txBody>
      </xdr:sp>
    </xdr:grpSp>
    <xdr:clientData/>
  </xdr:twoCellAnchor>
  <xdr:twoCellAnchor>
    <xdr:from>
      <xdr:col>10</xdr:col>
      <xdr:colOff>656254</xdr:colOff>
      <xdr:row>10</xdr:row>
      <xdr:rowOff>164230</xdr:rowOff>
    </xdr:from>
    <xdr:to>
      <xdr:col>11</xdr:col>
      <xdr:colOff>254535</xdr:colOff>
      <xdr:row>12</xdr:row>
      <xdr:rowOff>173563</xdr:rowOff>
    </xdr:to>
    <xdr:grpSp>
      <xdr:nvGrpSpPr>
        <xdr:cNvPr id="55" name="Group 41">
          <a:extLst>
            <a:ext uri="{FF2B5EF4-FFF2-40B4-BE49-F238E27FC236}">
              <a16:creationId xmlns:a16="http://schemas.microsoft.com/office/drawing/2014/main" id="{E06B2B46-3B2B-0D1B-0C42-AC517B0E65E5}"/>
            </a:ext>
          </a:extLst>
        </xdr:cNvPr>
        <xdr:cNvGrpSpPr/>
      </xdr:nvGrpSpPr>
      <xdr:grpSpPr>
        <a:xfrm>
          <a:off x="8966131" y="2202502"/>
          <a:ext cx="429268" cy="416987"/>
          <a:chOff x="0" y="0"/>
          <a:chExt cx="812800" cy="812800"/>
        </a:xfrm>
      </xdr:grpSpPr>
      <xdr:sp macro="" textlink="">
        <xdr:nvSpPr>
          <xdr:cNvPr id="78" name="Freeform 42">
            <a:extLst>
              <a:ext uri="{FF2B5EF4-FFF2-40B4-BE49-F238E27FC236}">
                <a16:creationId xmlns:a16="http://schemas.microsoft.com/office/drawing/2014/main" id="{4EE076B4-B0BB-CED8-7F55-EABF86D924E6}"/>
              </a:ext>
            </a:extLst>
          </xdr:cNvPr>
          <xdr:cNvSpPr/>
        </xdr:nvSpPr>
        <xdr:spPr>
          <a:xfrm>
            <a:off x="0" y="0"/>
            <a:ext cx="812800" cy="812800"/>
          </a:xfrm>
          <a:custGeom>
            <a:avLst/>
            <a:gdLst/>
            <a:ahLst/>
            <a:cxnLst/>
            <a:rect l="l" t="t" r="r" b="b"/>
            <a:pathLst>
              <a:path w="812800" h="812800">
                <a:moveTo>
                  <a:pt x="406400" y="0"/>
                </a:moveTo>
                <a:cubicBezTo>
                  <a:pt x="181951" y="0"/>
                  <a:pt x="0" y="181951"/>
                  <a:pt x="0" y="406400"/>
                </a:cubicBezTo>
                <a:cubicBezTo>
                  <a:pt x="0" y="630849"/>
                  <a:pt x="181951" y="812800"/>
                  <a:pt x="406400" y="812800"/>
                </a:cubicBezTo>
                <a:cubicBezTo>
                  <a:pt x="630849" y="812800"/>
                  <a:pt x="812800" y="630849"/>
                  <a:pt x="812800" y="406400"/>
                </a:cubicBezTo>
                <a:cubicBezTo>
                  <a:pt x="812800" y="181951"/>
                  <a:pt x="630849" y="0"/>
                  <a:pt x="406400" y="0"/>
                </a:cubicBezTo>
                <a:close/>
              </a:path>
            </a:pathLst>
          </a:custGeom>
          <a:solidFill>
            <a:srgbClr val="080808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de-DE"/>
          </a:p>
        </xdr:txBody>
      </xdr:sp>
      <xdr:sp macro="" textlink="">
        <xdr:nvSpPr>
          <xdr:cNvPr id="79" name="TextBox 43">
            <a:extLst>
              <a:ext uri="{FF2B5EF4-FFF2-40B4-BE49-F238E27FC236}">
                <a16:creationId xmlns:a16="http://schemas.microsoft.com/office/drawing/2014/main" id="{9773A04F-445D-5546-893A-874C4E562284}"/>
              </a:ext>
            </a:extLst>
          </xdr:cNvPr>
          <xdr:cNvSpPr txBox="1"/>
        </xdr:nvSpPr>
        <xdr:spPr>
          <a:xfrm>
            <a:off x="76200" y="38100"/>
            <a:ext cx="660400" cy="698500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2239"/>
              </a:lnSpc>
            </a:pPr>
            <a:endParaRPr/>
          </a:p>
        </xdr:txBody>
      </xdr:sp>
    </xdr:grpSp>
    <xdr:clientData/>
  </xdr:twoCellAnchor>
  <xdr:twoCellAnchor>
    <xdr:from>
      <xdr:col>15</xdr:col>
      <xdr:colOff>16443</xdr:colOff>
      <xdr:row>10</xdr:row>
      <xdr:rowOff>158738</xdr:rowOff>
    </xdr:from>
    <xdr:to>
      <xdr:col>16</xdr:col>
      <xdr:colOff>234769</xdr:colOff>
      <xdr:row>12</xdr:row>
      <xdr:rowOff>168071</xdr:rowOff>
    </xdr:to>
    <xdr:grpSp>
      <xdr:nvGrpSpPr>
        <xdr:cNvPr id="56" name="Group 48">
          <a:extLst>
            <a:ext uri="{FF2B5EF4-FFF2-40B4-BE49-F238E27FC236}">
              <a16:creationId xmlns:a16="http://schemas.microsoft.com/office/drawing/2014/main" id="{AA083EE0-2978-3872-37C6-1CF11C081220}"/>
            </a:ext>
          </a:extLst>
        </xdr:cNvPr>
        <xdr:cNvGrpSpPr/>
      </xdr:nvGrpSpPr>
      <xdr:grpSpPr>
        <a:xfrm>
          <a:off x="12481258" y="2197010"/>
          <a:ext cx="1049313" cy="416987"/>
          <a:chOff x="76200" y="0"/>
          <a:chExt cx="1972408" cy="812800"/>
        </a:xfrm>
      </xdr:grpSpPr>
      <xdr:sp macro="" textlink="">
        <xdr:nvSpPr>
          <xdr:cNvPr id="76" name="Freeform 49">
            <a:extLst>
              <a:ext uri="{FF2B5EF4-FFF2-40B4-BE49-F238E27FC236}">
                <a16:creationId xmlns:a16="http://schemas.microsoft.com/office/drawing/2014/main" id="{33B2B6D2-001D-D32D-86AB-0513A0019EC8}"/>
              </a:ext>
            </a:extLst>
          </xdr:cNvPr>
          <xdr:cNvSpPr/>
        </xdr:nvSpPr>
        <xdr:spPr>
          <a:xfrm>
            <a:off x="1235808" y="0"/>
            <a:ext cx="812800" cy="812800"/>
          </a:xfrm>
          <a:custGeom>
            <a:avLst/>
            <a:gdLst/>
            <a:ahLst/>
            <a:cxnLst/>
            <a:rect l="l" t="t" r="r" b="b"/>
            <a:pathLst>
              <a:path w="812800" h="812800">
                <a:moveTo>
                  <a:pt x="406400" y="0"/>
                </a:moveTo>
                <a:cubicBezTo>
                  <a:pt x="181951" y="0"/>
                  <a:pt x="0" y="181951"/>
                  <a:pt x="0" y="406400"/>
                </a:cubicBezTo>
                <a:cubicBezTo>
                  <a:pt x="0" y="630849"/>
                  <a:pt x="181951" y="812800"/>
                  <a:pt x="406400" y="812800"/>
                </a:cubicBezTo>
                <a:cubicBezTo>
                  <a:pt x="630849" y="812800"/>
                  <a:pt x="812800" y="630849"/>
                  <a:pt x="812800" y="406400"/>
                </a:cubicBezTo>
                <a:cubicBezTo>
                  <a:pt x="812800" y="181951"/>
                  <a:pt x="630849" y="0"/>
                  <a:pt x="406400" y="0"/>
                </a:cubicBezTo>
                <a:close/>
              </a:path>
            </a:pathLst>
          </a:custGeom>
          <a:gradFill rotWithShape="1">
            <a:gsLst>
              <a:gs pos="0">
                <a:srgbClr val="0052CC">
                  <a:alpha val="100000"/>
                </a:srgbClr>
              </a:gs>
              <a:gs pos="100000">
                <a:srgbClr val="4A98FF">
                  <a:alpha val="100000"/>
                </a:srgbClr>
              </a:gs>
            </a:gsLst>
            <a:lin ang="5400000"/>
          </a:gra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de-DE"/>
          </a:p>
        </xdr:txBody>
      </xdr:sp>
      <xdr:sp macro="" textlink="">
        <xdr:nvSpPr>
          <xdr:cNvPr id="77" name="TextBox 50">
            <a:extLst>
              <a:ext uri="{FF2B5EF4-FFF2-40B4-BE49-F238E27FC236}">
                <a16:creationId xmlns:a16="http://schemas.microsoft.com/office/drawing/2014/main" id="{D81F604D-7F74-7E10-FB73-8A381AFF9073}"/>
              </a:ext>
            </a:extLst>
          </xdr:cNvPr>
          <xdr:cNvSpPr txBox="1"/>
        </xdr:nvSpPr>
        <xdr:spPr>
          <a:xfrm>
            <a:off x="76200" y="38100"/>
            <a:ext cx="660400" cy="698500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2239"/>
              </a:lnSpc>
            </a:pPr>
            <a:endParaRPr/>
          </a:p>
        </xdr:txBody>
      </xdr:sp>
    </xdr:grpSp>
    <xdr:clientData/>
  </xdr:twoCellAnchor>
  <xdr:twoCellAnchor>
    <xdr:from>
      <xdr:col>20</xdr:col>
      <xdr:colOff>573380</xdr:colOff>
      <xdr:row>10</xdr:row>
      <xdr:rowOff>175671</xdr:rowOff>
    </xdr:from>
    <xdr:to>
      <xdr:col>21</xdr:col>
      <xdr:colOff>171662</xdr:colOff>
      <xdr:row>12</xdr:row>
      <xdr:rowOff>185004</xdr:rowOff>
    </xdr:to>
    <xdr:grpSp>
      <xdr:nvGrpSpPr>
        <xdr:cNvPr id="57" name="Group 55">
          <a:extLst>
            <a:ext uri="{FF2B5EF4-FFF2-40B4-BE49-F238E27FC236}">
              <a16:creationId xmlns:a16="http://schemas.microsoft.com/office/drawing/2014/main" id="{51644363-3282-4D36-EC34-A7671F883F0D}"/>
            </a:ext>
          </a:extLst>
        </xdr:cNvPr>
        <xdr:cNvGrpSpPr/>
      </xdr:nvGrpSpPr>
      <xdr:grpSpPr>
        <a:xfrm>
          <a:off x="17193133" y="2213943"/>
          <a:ext cx="429270" cy="416987"/>
          <a:chOff x="0" y="0"/>
          <a:chExt cx="812800" cy="812800"/>
        </a:xfrm>
      </xdr:grpSpPr>
      <xdr:sp macro="" textlink="">
        <xdr:nvSpPr>
          <xdr:cNvPr id="74" name="Freeform 56">
            <a:extLst>
              <a:ext uri="{FF2B5EF4-FFF2-40B4-BE49-F238E27FC236}">
                <a16:creationId xmlns:a16="http://schemas.microsoft.com/office/drawing/2014/main" id="{FFA81902-ACEE-49A5-B0F3-93B27C2BAD5B}"/>
              </a:ext>
            </a:extLst>
          </xdr:cNvPr>
          <xdr:cNvSpPr/>
        </xdr:nvSpPr>
        <xdr:spPr>
          <a:xfrm>
            <a:off x="0" y="0"/>
            <a:ext cx="812800" cy="812800"/>
          </a:xfrm>
          <a:custGeom>
            <a:avLst/>
            <a:gdLst/>
            <a:ahLst/>
            <a:cxnLst/>
            <a:rect l="l" t="t" r="r" b="b"/>
            <a:pathLst>
              <a:path w="812800" h="812800">
                <a:moveTo>
                  <a:pt x="406400" y="0"/>
                </a:moveTo>
                <a:cubicBezTo>
                  <a:pt x="181951" y="0"/>
                  <a:pt x="0" y="181951"/>
                  <a:pt x="0" y="406400"/>
                </a:cubicBezTo>
                <a:cubicBezTo>
                  <a:pt x="0" y="630849"/>
                  <a:pt x="181951" y="812800"/>
                  <a:pt x="406400" y="812800"/>
                </a:cubicBezTo>
                <a:cubicBezTo>
                  <a:pt x="630849" y="812800"/>
                  <a:pt x="812800" y="630849"/>
                  <a:pt x="812800" y="406400"/>
                </a:cubicBezTo>
                <a:cubicBezTo>
                  <a:pt x="812800" y="181951"/>
                  <a:pt x="630849" y="0"/>
                  <a:pt x="406400" y="0"/>
                </a:cubicBezTo>
                <a:close/>
              </a:path>
            </a:pathLst>
          </a:custGeom>
          <a:solidFill>
            <a:srgbClr val="121212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de-DE"/>
          </a:p>
        </xdr:txBody>
      </xdr:sp>
      <xdr:sp macro="" textlink="">
        <xdr:nvSpPr>
          <xdr:cNvPr id="75" name="TextBox 57">
            <a:extLst>
              <a:ext uri="{FF2B5EF4-FFF2-40B4-BE49-F238E27FC236}">
                <a16:creationId xmlns:a16="http://schemas.microsoft.com/office/drawing/2014/main" id="{9D7630F1-A7A8-9260-B9F3-26B2D2628A2B}"/>
              </a:ext>
            </a:extLst>
          </xdr:cNvPr>
          <xdr:cNvSpPr txBox="1"/>
        </xdr:nvSpPr>
        <xdr:spPr>
          <a:xfrm>
            <a:off x="76200" y="38100"/>
            <a:ext cx="660400" cy="698500"/>
          </a:xfrm>
          <a:prstGeom prst="rect">
            <a:avLst/>
          </a:prstGeom>
        </xdr:spPr>
        <xdr:txBody>
          <a:bodyPr wrap="square" lIns="50800" tIns="50800" rIns="50800" bIns="508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2239"/>
              </a:lnSpc>
            </a:pPr>
            <a:endParaRPr/>
          </a:p>
        </xdr:txBody>
      </xdr:sp>
    </xdr:grpSp>
    <xdr:clientData/>
  </xdr:twoCellAnchor>
  <xdr:twoCellAnchor>
    <xdr:from>
      <xdr:col>6</xdr:col>
      <xdr:colOff>787519</xdr:colOff>
      <xdr:row>8</xdr:row>
      <xdr:rowOff>13949</xdr:rowOff>
    </xdr:from>
    <xdr:to>
      <xdr:col>8</xdr:col>
      <xdr:colOff>430563</xdr:colOff>
      <xdr:row>9</xdr:row>
      <xdr:rowOff>31249</xdr:rowOff>
    </xdr:to>
    <xdr:sp macro="" textlink="">
      <xdr:nvSpPr>
        <xdr:cNvPr id="61" name="TextBox 76">
          <a:extLst>
            <a:ext uri="{FF2B5EF4-FFF2-40B4-BE49-F238E27FC236}">
              <a16:creationId xmlns:a16="http://schemas.microsoft.com/office/drawing/2014/main" id="{EE24BB73-AB1C-18CE-8656-BE79909FD11E}"/>
            </a:ext>
          </a:extLst>
        </xdr:cNvPr>
        <xdr:cNvSpPr txBox="1"/>
      </xdr:nvSpPr>
      <xdr:spPr>
        <a:xfrm>
          <a:off x="5765919" y="1639549"/>
          <a:ext cx="1302511" cy="220500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820"/>
            </a:lnSpc>
            <a:spcBef>
              <a:spcPct val="0"/>
            </a:spcBef>
          </a:pPr>
          <a:r>
            <a:rPr lang="en-US" sz="1300" spc="-71">
              <a:solidFill>
                <a:srgbClr val="FFFFFF"/>
              </a:solidFill>
              <a:latin typeface="Poppins Extra-Light"/>
              <a:ea typeface="Poppins Extra-Light"/>
              <a:cs typeface="Poppins Extra-Light"/>
              <a:sym typeface="Poppins Extra-Light"/>
            </a:rPr>
            <a:t>Dashboard</a:t>
          </a:r>
        </a:p>
      </xdr:txBody>
    </xdr:sp>
    <xdr:clientData/>
  </xdr:twoCellAnchor>
  <xdr:twoCellAnchor>
    <xdr:from>
      <xdr:col>1</xdr:col>
      <xdr:colOff>254192</xdr:colOff>
      <xdr:row>3</xdr:row>
      <xdr:rowOff>135048</xdr:rowOff>
    </xdr:from>
    <xdr:to>
      <xdr:col>11</xdr:col>
      <xdr:colOff>407886</xdr:colOff>
      <xdr:row>6</xdr:row>
      <xdr:rowOff>95585</xdr:rowOff>
    </xdr:to>
    <xdr:sp macro="" textlink="">
      <xdr:nvSpPr>
        <xdr:cNvPr id="62" name="TextBox 79">
          <a:extLst>
            <a:ext uri="{FF2B5EF4-FFF2-40B4-BE49-F238E27FC236}">
              <a16:creationId xmlns:a16="http://schemas.microsoft.com/office/drawing/2014/main" id="{7690087A-59AA-A8BE-79FE-EDC13215C96F}"/>
            </a:ext>
          </a:extLst>
        </xdr:cNvPr>
        <xdr:cNvSpPr txBox="1"/>
      </xdr:nvSpPr>
      <xdr:spPr>
        <a:xfrm>
          <a:off x="1083925" y="744648"/>
          <a:ext cx="8451028" cy="57013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4559"/>
            </a:lnSpc>
          </a:pPr>
          <a:r>
            <a:rPr lang="en-US" sz="3799" b="1" spc="-208">
              <a:solidFill>
                <a:srgbClr val="080808"/>
              </a:solidFill>
              <a:latin typeface="Poppins Semi-Bold"/>
              <a:ea typeface="Poppins Semi-Bold"/>
              <a:cs typeface="Poppins Semi-Bold"/>
              <a:sym typeface="Poppins Semi-Bold"/>
            </a:rPr>
            <a:t>CRM Lead Performance Dashboard</a:t>
          </a:r>
        </a:p>
      </xdr:txBody>
    </xdr:sp>
    <xdr:clientData/>
  </xdr:twoCellAnchor>
  <xdr:twoCellAnchor>
    <xdr:from>
      <xdr:col>2</xdr:col>
      <xdr:colOff>489180</xdr:colOff>
      <xdr:row>10</xdr:row>
      <xdr:rowOff>182763</xdr:rowOff>
    </xdr:from>
    <xdr:to>
      <xdr:col>5</xdr:col>
      <xdr:colOff>6134</xdr:colOff>
      <xdr:row>13</xdr:row>
      <xdr:rowOff>34828</xdr:rowOff>
    </xdr:to>
    <xdr:sp macro="" textlink="">
      <xdr:nvSpPr>
        <xdr:cNvPr id="63" name="TextBox 83">
          <a:extLst>
            <a:ext uri="{FF2B5EF4-FFF2-40B4-BE49-F238E27FC236}">
              <a16:creationId xmlns:a16="http://schemas.microsoft.com/office/drawing/2014/main" id="{7564F9ED-FA6D-1CD1-1525-BEFFC81EB1B9}"/>
            </a:ext>
          </a:extLst>
        </xdr:cNvPr>
        <xdr:cNvSpPr txBox="1"/>
      </xdr:nvSpPr>
      <xdr:spPr>
        <a:xfrm>
          <a:off x="2148647" y="2214763"/>
          <a:ext cx="2006154" cy="461665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820"/>
            </a:lnSpc>
            <a:spcBef>
              <a:spcPct val="0"/>
            </a:spcBef>
          </a:pPr>
          <a:r>
            <a:rPr lang="en-US" sz="1600" spc="-71">
              <a:solidFill>
                <a:srgbClr val="FFFFFF"/>
              </a:solidFill>
              <a:latin typeface="Poppins Extra-Light"/>
              <a:ea typeface="Poppins Extra-Light"/>
              <a:cs typeface="Poppins Extra-Light"/>
              <a:sym typeface="Poppins Extra-Light"/>
            </a:rPr>
            <a:t>Gesamt-</a:t>
          </a:r>
        </a:p>
        <a:p>
          <a:pPr>
            <a:lnSpc>
              <a:spcPts val="1820"/>
            </a:lnSpc>
            <a:spcBef>
              <a:spcPct val="0"/>
            </a:spcBef>
          </a:pPr>
          <a:r>
            <a:rPr lang="en-US" sz="1600" spc="-71">
              <a:solidFill>
                <a:srgbClr val="FFFFFF"/>
              </a:solidFill>
              <a:latin typeface="Poppins Extra-Light"/>
              <a:ea typeface="Poppins Extra-Light"/>
              <a:cs typeface="Poppins Extra-Light"/>
              <a:sym typeface="Poppins Extra-Light"/>
            </a:rPr>
            <a:t>Umsatzpotenzial</a:t>
          </a:r>
        </a:p>
      </xdr:txBody>
    </xdr:sp>
    <xdr:clientData/>
  </xdr:twoCellAnchor>
  <xdr:twoCellAnchor>
    <xdr:from>
      <xdr:col>7</xdr:col>
      <xdr:colOff>496880</xdr:colOff>
      <xdr:row>11</xdr:row>
      <xdr:rowOff>83806</xdr:rowOff>
    </xdr:from>
    <xdr:to>
      <xdr:col>9</xdr:col>
      <xdr:colOff>488437</xdr:colOff>
      <xdr:row>12</xdr:row>
      <xdr:rowOff>111438</xdr:rowOff>
    </xdr:to>
    <xdr:sp macro="" textlink="">
      <xdr:nvSpPr>
        <xdr:cNvPr id="65" name="TextBox 85">
          <a:extLst>
            <a:ext uri="{FF2B5EF4-FFF2-40B4-BE49-F238E27FC236}">
              <a16:creationId xmlns:a16="http://schemas.microsoft.com/office/drawing/2014/main" id="{49260D9A-CFEC-EC8F-F400-FCE947A29B7A}"/>
            </a:ext>
          </a:extLst>
        </xdr:cNvPr>
        <xdr:cNvSpPr txBox="1"/>
      </xdr:nvSpPr>
      <xdr:spPr>
        <a:xfrm>
          <a:off x="6305013" y="2319006"/>
          <a:ext cx="1651024" cy="23083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820"/>
            </a:lnSpc>
            <a:spcBef>
              <a:spcPct val="0"/>
            </a:spcBef>
          </a:pPr>
          <a:r>
            <a:rPr lang="en-US" sz="1600" spc="-71">
              <a:solidFill>
                <a:srgbClr val="080808"/>
              </a:solidFill>
              <a:latin typeface="Poppins Extra-Light"/>
              <a:ea typeface="Poppins Extra-Light"/>
              <a:cs typeface="Poppins Extra-Light"/>
              <a:sym typeface="Poppins Extra-Light"/>
            </a:rPr>
            <a:t>Anzahl Leads</a:t>
          </a:r>
        </a:p>
      </xdr:txBody>
    </xdr:sp>
    <xdr:clientData/>
  </xdr:twoCellAnchor>
  <xdr:twoCellAnchor>
    <xdr:from>
      <xdr:col>12</xdr:col>
      <xdr:colOff>444696</xdr:colOff>
      <xdr:row>11</xdr:row>
      <xdr:rowOff>83806</xdr:rowOff>
    </xdr:from>
    <xdr:to>
      <xdr:col>14</xdr:col>
      <xdr:colOff>436254</xdr:colOff>
      <xdr:row>12</xdr:row>
      <xdr:rowOff>111438</xdr:rowOff>
    </xdr:to>
    <xdr:sp macro="" textlink="">
      <xdr:nvSpPr>
        <xdr:cNvPr id="67" name="TextBox 87">
          <a:extLst>
            <a:ext uri="{FF2B5EF4-FFF2-40B4-BE49-F238E27FC236}">
              <a16:creationId xmlns:a16="http://schemas.microsoft.com/office/drawing/2014/main" id="{B38D5DD6-349D-CB3E-A88E-027796679753}"/>
            </a:ext>
          </a:extLst>
        </xdr:cNvPr>
        <xdr:cNvSpPr txBox="1"/>
      </xdr:nvSpPr>
      <xdr:spPr>
        <a:xfrm>
          <a:off x="10401496" y="2319006"/>
          <a:ext cx="1651025" cy="23083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820"/>
            </a:lnSpc>
            <a:spcBef>
              <a:spcPct val="0"/>
            </a:spcBef>
          </a:pPr>
          <a:r>
            <a:rPr lang="en-US" sz="1600" spc="-71">
              <a:solidFill>
                <a:srgbClr val="080808"/>
              </a:solidFill>
              <a:latin typeface="Poppins Extra-Light"/>
              <a:ea typeface="Poppins Extra-Light"/>
              <a:cs typeface="Poppins Extra-Light"/>
              <a:sym typeface="Poppins Extra-Light"/>
            </a:rPr>
            <a:t>Conversions</a:t>
          </a:r>
        </a:p>
      </xdr:txBody>
    </xdr:sp>
    <xdr:clientData/>
  </xdr:twoCellAnchor>
  <xdr:twoCellAnchor>
    <xdr:from>
      <xdr:col>17</xdr:col>
      <xdr:colOff>381968</xdr:colOff>
      <xdr:row>11</xdr:row>
      <xdr:rowOff>83806</xdr:rowOff>
    </xdr:from>
    <xdr:to>
      <xdr:col>19</xdr:col>
      <xdr:colOff>373526</xdr:colOff>
      <xdr:row>12</xdr:row>
      <xdr:rowOff>111438</xdr:rowOff>
    </xdr:to>
    <xdr:sp macro="" textlink="">
      <xdr:nvSpPr>
        <xdr:cNvPr id="69" name="TextBox 89">
          <a:extLst>
            <a:ext uri="{FF2B5EF4-FFF2-40B4-BE49-F238E27FC236}">
              <a16:creationId xmlns:a16="http://schemas.microsoft.com/office/drawing/2014/main" id="{E74D9D8B-6D42-237D-246A-7A0DD7F9D147}"/>
            </a:ext>
          </a:extLst>
        </xdr:cNvPr>
        <xdr:cNvSpPr txBox="1"/>
      </xdr:nvSpPr>
      <xdr:spPr>
        <a:xfrm>
          <a:off x="14487435" y="2319006"/>
          <a:ext cx="1651024" cy="230832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1820"/>
            </a:lnSpc>
            <a:spcBef>
              <a:spcPct val="0"/>
            </a:spcBef>
          </a:pPr>
          <a:r>
            <a:rPr lang="en-US" sz="1600" spc="-71">
              <a:solidFill>
                <a:srgbClr val="080808"/>
              </a:solidFill>
              <a:latin typeface="Poppins Extra-Light"/>
              <a:ea typeface="Poppins Extra-Light"/>
              <a:cs typeface="Poppins Extra-Light"/>
              <a:sym typeface="Poppins Extra-Light"/>
            </a:rPr>
            <a:t>Conversion Rate</a:t>
          </a:r>
        </a:p>
      </xdr:txBody>
    </xdr:sp>
    <xdr:clientData/>
  </xdr:twoCellAnchor>
  <xdr:twoCellAnchor>
    <xdr:from>
      <xdr:col>6</xdr:col>
      <xdr:colOff>47480</xdr:colOff>
      <xdr:row>11</xdr:row>
      <xdr:rowOff>49802</xdr:rowOff>
    </xdr:from>
    <xdr:to>
      <xdr:col>6</xdr:col>
      <xdr:colOff>248648</xdr:colOff>
      <xdr:row>12</xdr:row>
      <xdr:rowOff>47770</xdr:rowOff>
    </xdr:to>
    <xdr:sp macro="" textlink="">
      <xdr:nvSpPr>
        <xdr:cNvPr id="84" name="Freeform 67">
          <a:extLst>
            <a:ext uri="{FF2B5EF4-FFF2-40B4-BE49-F238E27FC236}">
              <a16:creationId xmlns:a16="http://schemas.microsoft.com/office/drawing/2014/main" id="{2B65B15E-F75B-106D-4C5C-8544054299C7}"/>
            </a:ext>
          </a:extLst>
        </xdr:cNvPr>
        <xdr:cNvSpPr/>
      </xdr:nvSpPr>
      <xdr:spPr>
        <a:xfrm>
          <a:off x="5025880" y="2285002"/>
          <a:ext cx="201168" cy="201168"/>
        </a:xfrm>
        <a:custGeom>
          <a:avLst/>
          <a:gdLst/>
          <a:ahLst/>
          <a:cxnLst/>
          <a:rect l="l" t="t" r="r" b="b"/>
          <a:pathLst>
            <a:path w="177228" h="196523">
              <a:moveTo>
                <a:pt x="0" y="0"/>
              </a:moveTo>
              <a:lnTo>
                <a:pt x="177228" y="0"/>
              </a:lnTo>
              <a:lnTo>
                <a:pt x="177228" y="196523"/>
              </a:lnTo>
              <a:lnTo>
                <a:pt x="0" y="196523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de-DE" sz="2200"/>
        </a:p>
      </xdr:txBody>
    </xdr:sp>
    <xdr:clientData/>
  </xdr:twoCellAnchor>
  <xdr:twoCellAnchor>
    <xdr:from>
      <xdr:col>10</xdr:col>
      <xdr:colOff>783090</xdr:colOff>
      <xdr:row>11</xdr:row>
      <xdr:rowOff>53630</xdr:rowOff>
    </xdr:from>
    <xdr:to>
      <xdr:col>11</xdr:col>
      <xdr:colOff>154524</xdr:colOff>
      <xdr:row>12</xdr:row>
      <xdr:rowOff>51598</xdr:rowOff>
    </xdr:to>
    <xdr:sp macro="" textlink="">
      <xdr:nvSpPr>
        <xdr:cNvPr id="85" name="Freeform 68">
          <a:extLst>
            <a:ext uri="{FF2B5EF4-FFF2-40B4-BE49-F238E27FC236}">
              <a16:creationId xmlns:a16="http://schemas.microsoft.com/office/drawing/2014/main" id="{8F548E18-7962-C1DF-228C-E400E7242150}"/>
            </a:ext>
          </a:extLst>
        </xdr:cNvPr>
        <xdr:cNvSpPr/>
      </xdr:nvSpPr>
      <xdr:spPr>
        <a:xfrm>
          <a:off x="9080423" y="2288830"/>
          <a:ext cx="201168" cy="201168"/>
        </a:xfrm>
        <a:custGeom>
          <a:avLst/>
          <a:gdLst/>
          <a:ahLst/>
          <a:cxnLst/>
          <a:rect l="l" t="t" r="r" b="b"/>
          <a:pathLst>
            <a:path w="188717" h="188717">
              <a:moveTo>
                <a:pt x="0" y="0"/>
              </a:moveTo>
              <a:lnTo>
                <a:pt x="188717" y="0"/>
              </a:lnTo>
              <a:lnTo>
                <a:pt x="188717" y="188717"/>
              </a:lnTo>
              <a:lnTo>
                <a:pt x="0" y="188717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de-DE"/>
        </a:p>
      </xdr:txBody>
    </xdr:sp>
    <xdr:clientData/>
  </xdr:twoCellAnchor>
  <xdr:twoCellAnchor>
    <xdr:from>
      <xdr:col>15</xdr:col>
      <xdr:colOff>728574</xdr:colOff>
      <xdr:row>11</xdr:row>
      <xdr:rowOff>70052</xdr:rowOff>
    </xdr:from>
    <xdr:to>
      <xdr:col>16</xdr:col>
      <xdr:colOff>101920</xdr:colOff>
      <xdr:row>12</xdr:row>
      <xdr:rowOff>68881</xdr:rowOff>
    </xdr:to>
    <xdr:sp macro="" textlink="">
      <xdr:nvSpPr>
        <xdr:cNvPr id="86" name="Freeform 69">
          <a:extLst>
            <a:ext uri="{FF2B5EF4-FFF2-40B4-BE49-F238E27FC236}">
              <a16:creationId xmlns:a16="http://schemas.microsoft.com/office/drawing/2014/main" id="{6539443D-16B1-BFE6-C49D-969582FF5226}"/>
            </a:ext>
          </a:extLst>
        </xdr:cNvPr>
        <xdr:cNvSpPr/>
      </xdr:nvSpPr>
      <xdr:spPr>
        <a:xfrm>
          <a:off x="13127218" y="2295781"/>
          <a:ext cx="199922" cy="201168"/>
        </a:xfrm>
        <a:custGeom>
          <a:avLst/>
          <a:gdLst/>
          <a:ahLst/>
          <a:cxnLst/>
          <a:rect l="l" t="t" r="r" b="b"/>
          <a:pathLst>
            <a:path w="198226" h="187774">
              <a:moveTo>
                <a:pt x="0" y="0"/>
              </a:moveTo>
              <a:lnTo>
                <a:pt x="198226" y="0"/>
              </a:lnTo>
              <a:lnTo>
                <a:pt x="198226" y="187774"/>
              </a:lnTo>
              <a:lnTo>
                <a:pt x="0" y="187774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de-DE"/>
        </a:p>
      </xdr:txBody>
    </xdr:sp>
    <xdr:clientData/>
  </xdr:twoCellAnchor>
  <xdr:twoCellAnchor>
    <xdr:from>
      <xdr:col>20</xdr:col>
      <xdr:colOff>702986</xdr:colOff>
      <xdr:row>11</xdr:row>
      <xdr:rowOff>70703</xdr:rowOff>
    </xdr:from>
    <xdr:to>
      <xdr:col>21</xdr:col>
      <xdr:colOff>77577</xdr:colOff>
      <xdr:row>12</xdr:row>
      <xdr:rowOff>69532</xdr:rowOff>
    </xdr:to>
    <xdr:sp macro="" textlink="">
      <xdr:nvSpPr>
        <xdr:cNvPr id="87" name="Freeform 70">
          <a:extLst>
            <a:ext uri="{FF2B5EF4-FFF2-40B4-BE49-F238E27FC236}">
              <a16:creationId xmlns:a16="http://schemas.microsoft.com/office/drawing/2014/main" id="{469DB203-A76B-2291-94F3-4D8A2D7EFE9B}"/>
            </a:ext>
          </a:extLst>
        </xdr:cNvPr>
        <xdr:cNvSpPr/>
      </xdr:nvSpPr>
      <xdr:spPr>
        <a:xfrm>
          <a:off x="17234511" y="2296432"/>
          <a:ext cx="201168" cy="201168"/>
        </a:xfrm>
        <a:custGeom>
          <a:avLst/>
          <a:gdLst/>
          <a:ahLst/>
          <a:cxnLst/>
          <a:rect l="l" t="t" r="r" b="b"/>
          <a:pathLst>
            <a:path w="191018" h="191018">
              <a:moveTo>
                <a:pt x="0" y="0"/>
              </a:moveTo>
              <a:lnTo>
                <a:pt x="191018" y="0"/>
              </a:lnTo>
              <a:lnTo>
                <a:pt x="191018" y="191018"/>
              </a:lnTo>
              <a:lnTo>
                <a:pt x="0" y="191018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de-DE"/>
        </a:p>
      </xdr:txBody>
    </xdr:sp>
    <xdr:clientData/>
  </xdr:twoCellAnchor>
  <xdr:oneCellAnchor>
    <xdr:from>
      <xdr:col>2</xdr:col>
      <xdr:colOff>428302</xdr:colOff>
      <xdr:row>14</xdr:row>
      <xdr:rowOff>7970</xdr:rowOff>
    </xdr:from>
    <xdr:ext cx="1143133" cy="405432"/>
    <xdr:sp macro="" textlink="Analyse!B7">
      <xdr:nvSpPr>
        <xdr:cNvPr id="88" name="Textfeld 87">
          <a:extLst>
            <a:ext uri="{FF2B5EF4-FFF2-40B4-BE49-F238E27FC236}">
              <a16:creationId xmlns:a16="http://schemas.microsoft.com/office/drawing/2014/main" id="{C53F86B3-B2FF-D75C-B3C7-C9764C7CF282}"/>
            </a:ext>
          </a:extLst>
        </xdr:cNvPr>
        <xdr:cNvSpPr txBox="1"/>
      </xdr:nvSpPr>
      <xdr:spPr>
        <a:xfrm>
          <a:off x="2087769" y="2852770"/>
          <a:ext cx="1143133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4FCF59F-D448-9548-BFD2-00C3FBA1C251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/>
            <a:t>5,27 Mio.</a:t>
          </a:fld>
          <a:endParaRPr lang="de-DE" sz="2000" b="1"/>
        </a:p>
      </xdr:txBody>
    </xdr:sp>
    <xdr:clientData/>
  </xdr:oneCellAnchor>
  <xdr:oneCellAnchor>
    <xdr:from>
      <xdr:col>7</xdr:col>
      <xdr:colOff>478727</xdr:colOff>
      <xdr:row>14</xdr:row>
      <xdr:rowOff>19970</xdr:rowOff>
    </xdr:from>
    <xdr:ext cx="574581" cy="405432"/>
    <xdr:sp macro="" textlink="Analyse!B4">
      <xdr:nvSpPr>
        <xdr:cNvPr id="89" name="Textfeld 88">
          <a:extLst>
            <a:ext uri="{FF2B5EF4-FFF2-40B4-BE49-F238E27FC236}">
              <a16:creationId xmlns:a16="http://schemas.microsoft.com/office/drawing/2014/main" id="{A1108F80-DB52-944F-9AC0-E0FAFAE2C2D4}"/>
            </a:ext>
          </a:extLst>
        </xdr:cNvPr>
        <xdr:cNvSpPr txBox="1"/>
      </xdr:nvSpPr>
      <xdr:spPr>
        <a:xfrm>
          <a:off x="6286860" y="2864770"/>
          <a:ext cx="57458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AF575435-EDF4-5F4B-B0A0-AD95488BCFA9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/>
            <a:t>200</a:t>
          </a:fld>
          <a:endParaRPr lang="de-DE" sz="2000" b="1"/>
        </a:p>
      </xdr:txBody>
    </xdr:sp>
    <xdr:clientData/>
  </xdr:oneCellAnchor>
  <xdr:oneCellAnchor>
    <xdr:from>
      <xdr:col>12</xdr:col>
      <xdr:colOff>454783</xdr:colOff>
      <xdr:row>13</xdr:row>
      <xdr:rowOff>178347</xdr:rowOff>
    </xdr:from>
    <xdr:ext cx="444609" cy="405432"/>
    <xdr:sp macro="" textlink="Analyse!B5">
      <xdr:nvSpPr>
        <xdr:cNvPr id="90" name="Textfeld 89">
          <a:extLst>
            <a:ext uri="{FF2B5EF4-FFF2-40B4-BE49-F238E27FC236}">
              <a16:creationId xmlns:a16="http://schemas.microsoft.com/office/drawing/2014/main" id="{EC308B95-8316-374B-890E-BD03B0A90AB7}"/>
            </a:ext>
          </a:extLst>
        </xdr:cNvPr>
        <xdr:cNvSpPr txBox="1"/>
      </xdr:nvSpPr>
      <xdr:spPr>
        <a:xfrm>
          <a:off x="10411583" y="2819947"/>
          <a:ext cx="44460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E9BD0BFB-67D3-C849-A777-69C0828C08AD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/>
            <a:t>79</a:t>
          </a:fld>
          <a:endParaRPr lang="de-DE" sz="2000" b="1"/>
        </a:p>
      </xdr:txBody>
    </xdr:sp>
    <xdr:clientData/>
  </xdr:oneCellAnchor>
  <xdr:oneCellAnchor>
    <xdr:from>
      <xdr:col>17</xdr:col>
      <xdr:colOff>372778</xdr:colOff>
      <xdr:row>14</xdr:row>
      <xdr:rowOff>5029</xdr:rowOff>
    </xdr:from>
    <xdr:ext cx="882293" cy="405432"/>
    <xdr:sp macro="" textlink="Analyse!B6">
      <xdr:nvSpPr>
        <xdr:cNvPr id="91" name="Textfeld 90">
          <a:extLst>
            <a:ext uri="{FF2B5EF4-FFF2-40B4-BE49-F238E27FC236}">
              <a16:creationId xmlns:a16="http://schemas.microsoft.com/office/drawing/2014/main" id="{5BA56599-79A0-1C4A-B085-5D4838F6A62B}"/>
            </a:ext>
          </a:extLst>
        </xdr:cNvPr>
        <xdr:cNvSpPr txBox="1"/>
      </xdr:nvSpPr>
      <xdr:spPr>
        <a:xfrm>
          <a:off x="14478245" y="2849829"/>
          <a:ext cx="882293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22892B88-AACC-CC40-8886-D2897D1D5284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/>
            <a:t>39,5 %</a:t>
          </a:fld>
          <a:endParaRPr lang="de-DE" sz="2000" b="1"/>
        </a:p>
      </xdr:txBody>
    </xdr:sp>
    <xdr:clientData/>
  </xdr:oneCellAnchor>
  <xdr:twoCellAnchor>
    <xdr:from>
      <xdr:col>8</xdr:col>
      <xdr:colOff>524936</xdr:colOff>
      <xdr:row>19</xdr:row>
      <xdr:rowOff>12701</xdr:rowOff>
    </xdr:from>
    <xdr:to>
      <xdr:col>15</xdr:col>
      <xdr:colOff>477523</xdr:colOff>
      <xdr:row>36</xdr:row>
      <xdr:rowOff>88901</xdr:rowOff>
    </xdr:to>
    <xdr:graphicFrame macro="">
      <xdr:nvGraphicFramePr>
        <xdr:cNvPr id="92" name="Diagramm 91">
          <a:extLst>
            <a:ext uri="{FF2B5EF4-FFF2-40B4-BE49-F238E27FC236}">
              <a16:creationId xmlns:a16="http://schemas.microsoft.com/office/drawing/2014/main" id="{9C1DBE64-FA6D-144D-8629-9132C0ED78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207440</xdr:colOff>
      <xdr:row>19</xdr:row>
      <xdr:rowOff>12700</xdr:rowOff>
    </xdr:from>
    <xdr:to>
      <xdr:col>8</xdr:col>
      <xdr:colOff>160026</xdr:colOff>
      <xdr:row>36</xdr:row>
      <xdr:rowOff>76200</xdr:rowOff>
    </xdr:to>
    <xdr:graphicFrame macro="">
      <xdr:nvGraphicFramePr>
        <xdr:cNvPr id="93" name="Diagramm 92">
          <a:extLst>
            <a:ext uri="{FF2B5EF4-FFF2-40B4-BE49-F238E27FC236}">
              <a16:creationId xmlns:a16="http://schemas.microsoft.com/office/drawing/2014/main" id="{808EE0D2-E416-F140-9466-C769B4EE46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0</xdr:colOff>
      <xdr:row>19</xdr:row>
      <xdr:rowOff>50800</xdr:rowOff>
    </xdr:from>
    <xdr:to>
      <xdr:col>22</xdr:col>
      <xdr:colOff>782320</xdr:colOff>
      <xdr:row>36</xdr:row>
      <xdr:rowOff>125984</xdr:rowOff>
    </xdr:to>
    <xdr:graphicFrame macro="">
      <xdr:nvGraphicFramePr>
        <xdr:cNvPr id="103" name="Diagramm 102">
          <a:extLst>
            <a:ext uri="{FF2B5EF4-FFF2-40B4-BE49-F238E27FC236}">
              <a16:creationId xmlns:a16="http://schemas.microsoft.com/office/drawing/2014/main" id="{E390C03D-EBF7-2E4B-91D1-161B3AACBB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D0477C-F723-814F-A08F-C7A53D44B38E}" name="Tabelle1" displayName="Tabelle1" ref="A1:J201" totalsRowShown="0">
  <autoFilter ref="A1:J201" xr:uid="{18D0477C-F723-814F-A08F-C7A53D44B38E}"/>
  <tableColumns count="10">
    <tableColumn id="1" xr3:uid="{2A3699F3-27CE-024D-9CE7-7A98FDB4AD29}" name="Lead_ID"/>
    <tableColumn id="2" xr3:uid="{3863A7D3-3FDE-6B42-BB03-413B50CEC6C7}" name="Lead_Quelle"/>
    <tableColumn id="3" xr3:uid="{ECCF38EA-EA0E-AE44-B008-DC8EFF83D608}" name="Region"/>
    <tableColumn id="4" xr3:uid="{A6FA8074-C4D9-514F-B5C4-A5223FECF24E}" name="Kontakt_Datum" dataDxfId="19"/>
    <tableColumn id="5" xr3:uid="{3E9594CA-33CB-8148-BC1C-14A3FC45606D}" name="Status"/>
    <tableColumn id="6" xr3:uid="{F3FBCB60-3862-CA40-AA16-4B338FC85431}" name="Umsatzpotenzial"/>
    <tableColumn id="7" xr3:uid="{5B41B76E-162B-184B-BB1A-869675379270}" name="Branche"/>
    <tableColumn id="8" xr3:uid="{10EE2EC4-95A9-0647-B212-02D282FB7729}" name="Mitarbeiterzahl"/>
    <tableColumn id="9" xr3:uid="{6CFC9364-F258-434D-A4FA-19A64A7C6951}" name="Conversion" dataDxfId="18"/>
    <tableColumn id="10" xr3:uid="{2FCFE7D4-F2E4-564A-AC18-012FB34BC136}" name="Sales_Re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2F0A9C-468B-6241-A8C7-D518D4E44EEF}" name="Tabelle2" displayName="Tabelle2" ref="A1:J201" totalsRowShown="0" headerRowDxfId="17" dataDxfId="15" headerRowBorderDxfId="16" tableBorderDxfId="14" totalsRowBorderDxfId="13">
  <autoFilter ref="A1:J201" xr:uid="{5F2F0A9C-468B-6241-A8C7-D518D4E44EEF}"/>
  <tableColumns count="10">
    <tableColumn id="1" xr3:uid="{D4F47ABC-C823-E247-8679-67958CC49A76}" name="Lead_ID" dataDxfId="12"/>
    <tableColumn id="2" xr3:uid="{9A6178B1-7B98-EB48-A1F4-FCABD41EF389}" name="Lead_Quelle" dataDxfId="11"/>
    <tableColumn id="3" xr3:uid="{81504B9E-FEE7-D842-98BB-16FF91A93E63}" name="Region" dataDxfId="10"/>
    <tableColumn id="4" xr3:uid="{AAEA9389-AD7F-F147-8DDA-58A644F5984E}" name="Kontakt_Datum" dataDxfId="9"/>
    <tableColumn id="5" xr3:uid="{87E0009E-CC76-124A-8E95-6DC72018457F}" name="Status" dataDxfId="8"/>
    <tableColumn id="6" xr3:uid="{0F5F0CC0-04F5-994A-B965-00B6654B44A2}" name="Umsatzpotenzial" dataDxfId="7"/>
    <tableColumn id="7" xr3:uid="{AE174EEE-90A0-2F49-9F2B-21B041D75CE2}" name="Branche" dataDxfId="6"/>
    <tableColumn id="8" xr3:uid="{771D9201-307C-1548-9B18-3E01E39014EE}" name="Mitarbeiterzahl" dataDxfId="5"/>
    <tableColumn id="9" xr3:uid="{B0FDADF7-8F76-E340-9571-074886909D17}" name="Conversion" dataDxfId="4"/>
    <tableColumn id="10" xr3:uid="{5821BDA1-7380-2446-9A46-75850A8ECD7B}" name="Sales_Rep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678383-15DD-9645-AA63-EB39517A4F24}" name="Tabelle4" displayName="Tabelle4" ref="L1:N201" totalsRowShown="0">
  <autoFilter ref="L1:N201" xr:uid="{33678383-15DD-9645-AA63-EB39517A4F24}"/>
  <tableColumns count="3">
    <tableColumn id="1" xr3:uid="{CC48D759-8637-E244-A90D-DDB92478EEEC}" name="PL_Status_Conversion" dataDxfId="2">
      <calculatedColumnFormula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calculatedColumnFormula>
    </tableColumn>
    <tableColumn id="2" xr3:uid="{C2B9A1CC-3C1D-FB44-93C7-327B314BF561}" name="PL_Mitarbeiterzahl" dataDxfId="1">
      <calculatedColumnFormula>IF(AND(Tabelle2[[#This Row],[Mitarbeiterzahl]]&gt;=10,H2&lt;=1000),"OK","Fehler")</calculatedColumnFormula>
    </tableColumn>
    <tableColumn id="3" xr3:uid="{BEE6F3CF-7C71-5E41-AB6E-088503A8E8B6}" name="PL_Umsatzpotenzial" dataDxfId="0">
      <calculatedColumnFormula>IF(AND(Tabelle2[[#This Row],[Umsatzpotenzial]]&gt;=1000,Tabelle2[[#This Row],[Umsatzpotenzial]]&lt;=50000), "OK","Fehler")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C98E-77B6-2D4F-9274-7AB1F7280DE9}">
  <sheetPr codeName="Tabelle1"/>
  <dimension ref="A1:J201"/>
  <sheetViews>
    <sheetView workbookViewId="0">
      <pane ySplit="1" topLeftCell="A2" activePane="bottomLeft" state="frozen"/>
      <selection pane="bottomLeft" activeCell="N15" sqref="N15"/>
    </sheetView>
  </sheetViews>
  <sheetFormatPr baseColWidth="10" defaultRowHeight="16" x14ac:dyDescent="0.2"/>
  <cols>
    <col min="1" max="1" width="10.33203125" bestFit="1" customWidth="1"/>
    <col min="2" max="2" width="13.83203125" bestFit="1" customWidth="1"/>
    <col min="3" max="3" width="9.33203125" bestFit="1" customWidth="1"/>
    <col min="4" max="4" width="16.6640625" bestFit="1" customWidth="1"/>
    <col min="5" max="5" width="9.83203125" bestFit="1" customWidth="1"/>
    <col min="6" max="6" width="17.5" bestFit="1" customWidth="1"/>
    <col min="7" max="7" width="12.83203125" bestFit="1" customWidth="1"/>
    <col min="8" max="8" width="16.1640625" bestFit="1" customWidth="1"/>
    <col min="9" max="9" width="13" bestFit="1" customWidth="1"/>
    <col min="10" max="10" width="12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210</v>
      </c>
      <c r="C2" t="s">
        <v>213</v>
      </c>
      <c r="D2" s="3">
        <v>46254</v>
      </c>
      <c r="E2" t="s">
        <v>221</v>
      </c>
      <c r="F2">
        <v>27459</v>
      </c>
      <c r="G2" t="s">
        <v>223</v>
      </c>
      <c r="H2">
        <v>565</v>
      </c>
      <c r="I2" t="s">
        <v>227</v>
      </c>
      <c r="J2" t="s">
        <v>231</v>
      </c>
    </row>
    <row r="3" spans="1:10" x14ac:dyDescent="0.2">
      <c r="A3" t="s">
        <v>11</v>
      </c>
      <c r="B3" t="s">
        <v>212</v>
      </c>
      <c r="C3" t="s">
        <v>215</v>
      </c>
      <c r="D3" s="3">
        <v>46098</v>
      </c>
      <c r="E3" t="s">
        <v>220</v>
      </c>
      <c r="F3">
        <v>21953</v>
      </c>
      <c r="G3" t="s">
        <v>223</v>
      </c>
      <c r="H3">
        <v>933</v>
      </c>
      <c r="I3" t="s">
        <v>226</v>
      </c>
      <c r="J3" t="s">
        <v>229</v>
      </c>
    </row>
    <row r="4" spans="1:10" x14ac:dyDescent="0.2">
      <c r="A4" t="s">
        <v>12</v>
      </c>
      <c r="B4" t="s">
        <v>234</v>
      </c>
      <c r="C4" t="s">
        <v>218</v>
      </c>
      <c r="D4" s="3">
        <v>46108</v>
      </c>
      <c r="E4" t="s">
        <v>221</v>
      </c>
      <c r="F4">
        <v>49875</v>
      </c>
      <c r="G4" t="s">
        <v>224</v>
      </c>
      <c r="H4">
        <v>423</v>
      </c>
      <c r="I4" t="s">
        <v>227</v>
      </c>
      <c r="J4" t="s">
        <v>229</v>
      </c>
    </row>
    <row r="5" spans="1:10" x14ac:dyDescent="0.2">
      <c r="A5" t="s">
        <v>13</v>
      </c>
      <c r="B5" t="s">
        <v>234</v>
      </c>
      <c r="C5" t="s">
        <v>218</v>
      </c>
      <c r="D5" s="3">
        <v>46169</v>
      </c>
      <c r="E5" t="s">
        <v>221</v>
      </c>
      <c r="F5">
        <v>38709</v>
      </c>
      <c r="G5" t="s">
        <v>228</v>
      </c>
      <c r="H5">
        <v>954</v>
      </c>
      <c r="I5" t="s">
        <v>227</v>
      </c>
      <c r="J5" t="s">
        <v>230</v>
      </c>
    </row>
    <row r="6" spans="1:10" x14ac:dyDescent="0.2">
      <c r="A6" t="s">
        <v>14</v>
      </c>
      <c r="B6" t="s">
        <v>210</v>
      </c>
      <c r="C6" t="s">
        <v>217</v>
      </c>
      <c r="D6" s="3">
        <v>46177</v>
      </c>
      <c r="E6" t="s">
        <v>221</v>
      </c>
      <c r="F6">
        <v>13068</v>
      </c>
      <c r="G6" t="s">
        <v>223</v>
      </c>
      <c r="H6">
        <v>437</v>
      </c>
      <c r="I6" t="s">
        <v>227</v>
      </c>
      <c r="J6" t="s">
        <v>231</v>
      </c>
    </row>
    <row r="7" spans="1:10" x14ac:dyDescent="0.2">
      <c r="A7" t="s">
        <v>15</v>
      </c>
      <c r="B7" t="s">
        <v>233</v>
      </c>
      <c r="C7" t="s">
        <v>213</v>
      </c>
      <c r="D7" s="3">
        <v>46237</v>
      </c>
      <c r="E7" t="s">
        <v>222</v>
      </c>
      <c r="F7">
        <v>44137</v>
      </c>
      <c r="G7" t="s">
        <v>235</v>
      </c>
      <c r="H7">
        <v>954</v>
      </c>
      <c r="I7" t="s">
        <v>227</v>
      </c>
      <c r="J7" t="s">
        <v>230</v>
      </c>
    </row>
    <row r="8" spans="1:10" x14ac:dyDescent="0.2">
      <c r="A8" t="s">
        <v>16</v>
      </c>
      <c r="B8" t="s">
        <v>211</v>
      </c>
      <c r="C8" t="s">
        <v>216</v>
      </c>
      <c r="D8" s="3">
        <v>46178</v>
      </c>
      <c r="E8" t="s">
        <v>221</v>
      </c>
      <c r="F8">
        <v>43019</v>
      </c>
      <c r="G8" t="s">
        <v>225</v>
      </c>
      <c r="H8">
        <v>624</v>
      </c>
      <c r="I8" t="s">
        <v>227</v>
      </c>
      <c r="J8" t="s">
        <v>232</v>
      </c>
    </row>
    <row r="9" spans="1:10" x14ac:dyDescent="0.2">
      <c r="A9" t="s">
        <v>17</v>
      </c>
      <c r="B9" t="s">
        <v>212</v>
      </c>
      <c r="C9" t="s">
        <v>215</v>
      </c>
      <c r="D9" s="3">
        <v>46187</v>
      </c>
      <c r="E9" t="s">
        <v>221</v>
      </c>
      <c r="F9">
        <v>33592</v>
      </c>
      <c r="G9" t="s">
        <v>223</v>
      </c>
      <c r="H9">
        <v>372</v>
      </c>
      <c r="I9" t="s">
        <v>227</v>
      </c>
      <c r="J9" t="s">
        <v>231</v>
      </c>
    </row>
    <row r="10" spans="1:10" x14ac:dyDescent="0.2">
      <c r="A10" t="s">
        <v>18</v>
      </c>
      <c r="B10" t="s">
        <v>234</v>
      </c>
      <c r="C10" t="s">
        <v>214</v>
      </c>
      <c r="D10" s="3">
        <v>46198</v>
      </c>
      <c r="E10" t="s">
        <v>220</v>
      </c>
      <c r="F10">
        <v>41422</v>
      </c>
      <c r="G10" t="s">
        <v>235</v>
      </c>
      <c r="H10">
        <v>139</v>
      </c>
      <c r="I10" t="s">
        <v>226</v>
      </c>
      <c r="J10" t="s">
        <v>231</v>
      </c>
    </row>
    <row r="11" spans="1:10" x14ac:dyDescent="0.2">
      <c r="A11" t="s">
        <v>19</v>
      </c>
      <c r="B11" t="s">
        <v>212</v>
      </c>
      <c r="C11" t="s">
        <v>216</v>
      </c>
      <c r="D11" s="3">
        <v>46244</v>
      </c>
      <c r="E11" t="s">
        <v>220</v>
      </c>
      <c r="F11">
        <v>16995</v>
      </c>
      <c r="G11" t="s">
        <v>223</v>
      </c>
      <c r="H11">
        <v>537</v>
      </c>
      <c r="I11" t="s">
        <v>226</v>
      </c>
      <c r="J11" t="s">
        <v>230</v>
      </c>
    </row>
    <row r="12" spans="1:10" x14ac:dyDescent="0.2">
      <c r="A12" t="s">
        <v>20</v>
      </c>
      <c r="B12" t="s">
        <v>234</v>
      </c>
      <c r="C12" t="s">
        <v>219</v>
      </c>
      <c r="D12" s="3">
        <v>46252</v>
      </c>
      <c r="E12" t="s">
        <v>222</v>
      </c>
      <c r="F12">
        <v>5671</v>
      </c>
      <c r="G12" t="s">
        <v>224</v>
      </c>
      <c r="H12">
        <v>626</v>
      </c>
      <c r="I12" t="s">
        <v>227</v>
      </c>
      <c r="J12" t="s">
        <v>230</v>
      </c>
    </row>
    <row r="13" spans="1:10" x14ac:dyDescent="0.2">
      <c r="A13" t="s">
        <v>21</v>
      </c>
      <c r="B13" t="s">
        <v>212</v>
      </c>
      <c r="C13" t="s">
        <v>217</v>
      </c>
      <c r="D13" s="3">
        <v>46213</v>
      </c>
      <c r="E13" t="s">
        <v>222</v>
      </c>
      <c r="F13">
        <v>45602</v>
      </c>
      <c r="G13" t="s">
        <v>224</v>
      </c>
      <c r="H13">
        <v>976</v>
      </c>
      <c r="I13" t="s">
        <v>227</v>
      </c>
      <c r="J13" t="s">
        <v>232</v>
      </c>
    </row>
    <row r="14" spans="1:10" x14ac:dyDescent="0.2">
      <c r="A14" t="s">
        <v>22</v>
      </c>
      <c r="B14" t="s">
        <v>212</v>
      </c>
      <c r="C14" t="s">
        <v>216</v>
      </c>
      <c r="D14" s="3">
        <v>46227</v>
      </c>
      <c r="E14" t="s">
        <v>222</v>
      </c>
      <c r="F14">
        <v>24879</v>
      </c>
      <c r="G14" t="s">
        <v>225</v>
      </c>
      <c r="H14">
        <v>332</v>
      </c>
      <c r="I14" t="s">
        <v>227</v>
      </c>
      <c r="J14" t="s">
        <v>230</v>
      </c>
    </row>
    <row r="15" spans="1:10" x14ac:dyDescent="0.2">
      <c r="A15" t="s">
        <v>23</v>
      </c>
      <c r="B15" t="s">
        <v>234</v>
      </c>
      <c r="C15" t="s">
        <v>215</v>
      </c>
      <c r="D15" s="3">
        <v>46209</v>
      </c>
      <c r="E15" t="s">
        <v>222</v>
      </c>
      <c r="F15">
        <v>28625</v>
      </c>
      <c r="G15" t="s">
        <v>235</v>
      </c>
      <c r="H15">
        <v>601</v>
      </c>
      <c r="I15" t="s">
        <v>227</v>
      </c>
      <c r="J15" t="s">
        <v>229</v>
      </c>
    </row>
    <row r="16" spans="1:10" x14ac:dyDescent="0.2">
      <c r="A16" t="s">
        <v>24</v>
      </c>
      <c r="B16" t="s">
        <v>211</v>
      </c>
      <c r="C16" t="s">
        <v>219</v>
      </c>
      <c r="D16" s="3">
        <v>46148</v>
      </c>
      <c r="E16" t="s">
        <v>220</v>
      </c>
      <c r="F16">
        <v>8278</v>
      </c>
      <c r="G16" t="s">
        <v>224</v>
      </c>
      <c r="H16">
        <v>544</v>
      </c>
      <c r="I16" t="s">
        <v>226</v>
      </c>
      <c r="J16" t="s">
        <v>230</v>
      </c>
    </row>
    <row r="17" spans="1:10" x14ac:dyDescent="0.2">
      <c r="A17" t="s">
        <v>25</v>
      </c>
      <c r="B17" t="s">
        <v>233</v>
      </c>
      <c r="C17" t="s">
        <v>219</v>
      </c>
      <c r="D17" s="3">
        <v>46170</v>
      </c>
      <c r="E17" t="s">
        <v>222</v>
      </c>
      <c r="F17">
        <v>45714</v>
      </c>
      <c r="G17" t="s">
        <v>223</v>
      </c>
      <c r="H17">
        <v>732</v>
      </c>
      <c r="I17" t="s">
        <v>227</v>
      </c>
      <c r="J17" t="s">
        <v>230</v>
      </c>
    </row>
    <row r="18" spans="1:10" x14ac:dyDescent="0.2">
      <c r="A18" t="s">
        <v>26</v>
      </c>
      <c r="B18" t="s">
        <v>233</v>
      </c>
      <c r="C18" t="s">
        <v>218</v>
      </c>
      <c r="D18" s="3">
        <v>46255</v>
      </c>
      <c r="E18" t="s">
        <v>221</v>
      </c>
      <c r="F18">
        <v>44904</v>
      </c>
      <c r="G18" t="s">
        <v>235</v>
      </c>
      <c r="H18">
        <v>890</v>
      </c>
      <c r="I18" t="s">
        <v>227</v>
      </c>
      <c r="J18" t="s">
        <v>229</v>
      </c>
    </row>
    <row r="19" spans="1:10" x14ac:dyDescent="0.2">
      <c r="A19" t="s">
        <v>27</v>
      </c>
      <c r="B19" t="s">
        <v>234</v>
      </c>
      <c r="C19" t="s">
        <v>219</v>
      </c>
      <c r="D19" s="3">
        <v>46190</v>
      </c>
      <c r="E19" t="s">
        <v>221</v>
      </c>
      <c r="F19">
        <v>22471</v>
      </c>
      <c r="G19" t="s">
        <v>235</v>
      </c>
      <c r="H19">
        <v>514</v>
      </c>
      <c r="I19" t="s">
        <v>227</v>
      </c>
      <c r="J19" t="s">
        <v>230</v>
      </c>
    </row>
    <row r="20" spans="1:10" x14ac:dyDescent="0.2">
      <c r="A20" t="s">
        <v>28</v>
      </c>
      <c r="B20" t="s">
        <v>212</v>
      </c>
      <c r="C20" t="s">
        <v>217</v>
      </c>
      <c r="D20" s="3">
        <v>46084</v>
      </c>
      <c r="E20" t="s">
        <v>220</v>
      </c>
      <c r="F20">
        <v>31424</v>
      </c>
      <c r="G20" t="s">
        <v>228</v>
      </c>
      <c r="H20">
        <v>245</v>
      </c>
      <c r="I20" t="s">
        <v>226</v>
      </c>
      <c r="J20" t="s">
        <v>229</v>
      </c>
    </row>
    <row r="21" spans="1:10" x14ac:dyDescent="0.2">
      <c r="A21" t="s">
        <v>29</v>
      </c>
      <c r="B21" t="s">
        <v>212</v>
      </c>
      <c r="C21" t="s">
        <v>217</v>
      </c>
      <c r="D21" s="3">
        <v>46226</v>
      </c>
      <c r="E21" t="s">
        <v>220</v>
      </c>
      <c r="F21">
        <v>14443</v>
      </c>
      <c r="G21" t="s">
        <v>223</v>
      </c>
      <c r="H21">
        <v>393</v>
      </c>
      <c r="I21" t="s">
        <v>226</v>
      </c>
      <c r="J21" t="s">
        <v>231</v>
      </c>
    </row>
    <row r="22" spans="1:10" x14ac:dyDescent="0.2">
      <c r="A22" t="s">
        <v>30</v>
      </c>
      <c r="B22" t="s">
        <v>210</v>
      </c>
      <c r="C22" t="s">
        <v>216</v>
      </c>
      <c r="D22" s="3">
        <v>46236</v>
      </c>
      <c r="E22" t="s">
        <v>220</v>
      </c>
      <c r="F22">
        <v>10394</v>
      </c>
      <c r="G22" t="s">
        <v>225</v>
      </c>
      <c r="H22">
        <v>63</v>
      </c>
      <c r="I22" t="s">
        <v>226</v>
      </c>
      <c r="J22" t="s">
        <v>229</v>
      </c>
    </row>
    <row r="23" spans="1:10" x14ac:dyDescent="0.2">
      <c r="A23" t="s">
        <v>31</v>
      </c>
      <c r="B23" t="s">
        <v>233</v>
      </c>
      <c r="C23" t="s">
        <v>215</v>
      </c>
      <c r="D23" s="3">
        <v>46250</v>
      </c>
      <c r="E23" t="s">
        <v>220</v>
      </c>
      <c r="F23">
        <v>37139</v>
      </c>
      <c r="G23" t="s">
        <v>223</v>
      </c>
      <c r="H23">
        <v>816</v>
      </c>
      <c r="I23" t="s">
        <v>226</v>
      </c>
      <c r="J23" t="s">
        <v>229</v>
      </c>
    </row>
    <row r="24" spans="1:10" x14ac:dyDescent="0.2">
      <c r="A24" t="s">
        <v>32</v>
      </c>
      <c r="B24" t="s">
        <v>234</v>
      </c>
      <c r="C24" t="s">
        <v>219</v>
      </c>
      <c r="D24" s="3">
        <v>46088</v>
      </c>
      <c r="E24" t="s">
        <v>220</v>
      </c>
      <c r="F24">
        <v>10415</v>
      </c>
      <c r="G24" t="s">
        <v>224</v>
      </c>
      <c r="H24">
        <v>448</v>
      </c>
      <c r="I24" t="s">
        <v>226</v>
      </c>
      <c r="J24" t="s">
        <v>232</v>
      </c>
    </row>
    <row r="25" spans="1:10" x14ac:dyDescent="0.2">
      <c r="A25" t="s">
        <v>33</v>
      </c>
      <c r="B25" t="s">
        <v>210</v>
      </c>
      <c r="C25" t="s">
        <v>216</v>
      </c>
      <c r="D25" s="3">
        <v>46179</v>
      </c>
      <c r="E25" t="s">
        <v>220</v>
      </c>
      <c r="F25">
        <v>18794</v>
      </c>
      <c r="G25" t="s">
        <v>225</v>
      </c>
      <c r="H25">
        <v>979</v>
      </c>
      <c r="I25" t="s">
        <v>226</v>
      </c>
      <c r="J25" t="s">
        <v>231</v>
      </c>
    </row>
    <row r="26" spans="1:10" x14ac:dyDescent="0.2">
      <c r="A26" t="s">
        <v>34</v>
      </c>
      <c r="B26" t="s">
        <v>210</v>
      </c>
      <c r="C26" t="s">
        <v>219</v>
      </c>
      <c r="D26" s="3">
        <v>46170</v>
      </c>
      <c r="E26" t="s">
        <v>220</v>
      </c>
      <c r="F26">
        <v>1223</v>
      </c>
      <c r="G26" t="s">
        <v>225</v>
      </c>
      <c r="H26">
        <v>854</v>
      </c>
      <c r="I26" t="s">
        <v>226</v>
      </c>
      <c r="J26" t="s">
        <v>230</v>
      </c>
    </row>
    <row r="27" spans="1:10" x14ac:dyDescent="0.2">
      <c r="A27" t="s">
        <v>35</v>
      </c>
      <c r="B27" t="s">
        <v>212</v>
      </c>
      <c r="C27" t="s">
        <v>218</v>
      </c>
      <c r="D27" s="3">
        <v>46125</v>
      </c>
      <c r="E27" t="s">
        <v>221</v>
      </c>
      <c r="F27">
        <v>25240</v>
      </c>
      <c r="G27" t="s">
        <v>225</v>
      </c>
      <c r="H27">
        <v>953</v>
      </c>
      <c r="I27" t="s">
        <v>227</v>
      </c>
      <c r="J27" t="s">
        <v>231</v>
      </c>
    </row>
    <row r="28" spans="1:10" x14ac:dyDescent="0.2">
      <c r="A28" t="s">
        <v>36</v>
      </c>
      <c r="B28" t="s">
        <v>210</v>
      </c>
      <c r="C28" t="s">
        <v>218</v>
      </c>
      <c r="D28" s="3">
        <v>46091</v>
      </c>
      <c r="E28" t="s">
        <v>221</v>
      </c>
      <c r="F28">
        <v>27424</v>
      </c>
      <c r="G28" t="s">
        <v>225</v>
      </c>
      <c r="H28">
        <v>866</v>
      </c>
      <c r="I28" t="s">
        <v>227</v>
      </c>
      <c r="J28" t="s">
        <v>231</v>
      </c>
    </row>
    <row r="29" spans="1:10" x14ac:dyDescent="0.2">
      <c r="A29" t="s">
        <v>37</v>
      </c>
      <c r="B29" t="s">
        <v>210</v>
      </c>
      <c r="C29" t="s">
        <v>215</v>
      </c>
      <c r="D29" s="3">
        <v>46182</v>
      </c>
      <c r="E29" t="s">
        <v>221</v>
      </c>
      <c r="F29">
        <v>19535</v>
      </c>
      <c r="G29" t="s">
        <v>225</v>
      </c>
      <c r="H29">
        <v>422</v>
      </c>
      <c r="I29" t="s">
        <v>227</v>
      </c>
      <c r="J29" t="s">
        <v>231</v>
      </c>
    </row>
    <row r="30" spans="1:10" x14ac:dyDescent="0.2">
      <c r="A30" t="s">
        <v>38</v>
      </c>
      <c r="B30" t="s">
        <v>212</v>
      </c>
      <c r="C30" t="s">
        <v>214</v>
      </c>
      <c r="D30" s="3">
        <v>46244</v>
      </c>
      <c r="E30" t="s">
        <v>220</v>
      </c>
      <c r="F30">
        <v>33467</v>
      </c>
      <c r="G30" t="s">
        <v>225</v>
      </c>
      <c r="H30">
        <v>235</v>
      </c>
      <c r="I30" t="s">
        <v>226</v>
      </c>
      <c r="J30" t="s">
        <v>231</v>
      </c>
    </row>
    <row r="31" spans="1:10" x14ac:dyDescent="0.2">
      <c r="A31" t="s">
        <v>39</v>
      </c>
      <c r="B31" t="s">
        <v>212</v>
      </c>
      <c r="C31" t="s">
        <v>218</v>
      </c>
      <c r="D31" s="3">
        <v>46249</v>
      </c>
      <c r="E31" t="s">
        <v>220</v>
      </c>
      <c r="F31">
        <v>30398</v>
      </c>
      <c r="G31" t="s">
        <v>228</v>
      </c>
      <c r="H31">
        <v>386</v>
      </c>
      <c r="I31" t="s">
        <v>226</v>
      </c>
      <c r="J31" t="s">
        <v>230</v>
      </c>
    </row>
    <row r="32" spans="1:10" x14ac:dyDescent="0.2">
      <c r="A32" t="s">
        <v>40</v>
      </c>
      <c r="B32" t="s">
        <v>233</v>
      </c>
      <c r="C32" t="s">
        <v>217</v>
      </c>
      <c r="D32" s="3">
        <v>46145</v>
      </c>
      <c r="E32" t="s">
        <v>220</v>
      </c>
      <c r="F32">
        <v>40278</v>
      </c>
      <c r="G32" t="s">
        <v>224</v>
      </c>
      <c r="H32">
        <v>900</v>
      </c>
      <c r="I32" t="s">
        <v>226</v>
      </c>
      <c r="J32" t="s">
        <v>229</v>
      </c>
    </row>
    <row r="33" spans="1:10" x14ac:dyDescent="0.2">
      <c r="A33" t="s">
        <v>41</v>
      </c>
      <c r="B33" t="s">
        <v>212</v>
      </c>
      <c r="C33" t="s">
        <v>218</v>
      </c>
      <c r="D33" s="3">
        <v>46214</v>
      </c>
      <c r="E33" t="s">
        <v>221</v>
      </c>
      <c r="F33">
        <v>31424</v>
      </c>
      <c r="G33" t="s">
        <v>225</v>
      </c>
      <c r="H33">
        <v>299</v>
      </c>
      <c r="I33" t="s">
        <v>227</v>
      </c>
      <c r="J33" t="s">
        <v>232</v>
      </c>
    </row>
    <row r="34" spans="1:10" x14ac:dyDescent="0.2">
      <c r="A34" t="s">
        <v>42</v>
      </c>
      <c r="B34" t="s">
        <v>212</v>
      </c>
      <c r="C34" t="s">
        <v>214</v>
      </c>
      <c r="D34" s="3">
        <v>46169</v>
      </c>
      <c r="E34" t="s">
        <v>221</v>
      </c>
      <c r="F34">
        <v>43100</v>
      </c>
      <c r="G34" t="s">
        <v>235</v>
      </c>
      <c r="H34">
        <v>525</v>
      </c>
      <c r="I34" t="s">
        <v>227</v>
      </c>
      <c r="J34" t="s">
        <v>232</v>
      </c>
    </row>
    <row r="35" spans="1:10" x14ac:dyDescent="0.2">
      <c r="A35" t="s">
        <v>43</v>
      </c>
      <c r="B35" t="s">
        <v>211</v>
      </c>
      <c r="C35" t="s">
        <v>216</v>
      </c>
      <c r="D35" s="3">
        <v>46150</v>
      </c>
      <c r="E35" t="s">
        <v>220</v>
      </c>
      <c r="F35">
        <v>37594</v>
      </c>
      <c r="G35" t="s">
        <v>235</v>
      </c>
      <c r="H35">
        <v>456</v>
      </c>
      <c r="I35" t="s">
        <v>226</v>
      </c>
      <c r="J35" t="s">
        <v>231</v>
      </c>
    </row>
    <row r="36" spans="1:10" x14ac:dyDescent="0.2">
      <c r="A36" t="s">
        <v>44</v>
      </c>
      <c r="B36" t="s">
        <v>234</v>
      </c>
      <c r="C36" t="s">
        <v>217</v>
      </c>
      <c r="D36" s="3">
        <v>46212</v>
      </c>
      <c r="E36" t="s">
        <v>222</v>
      </c>
      <c r="F36">
        <v>48928</v>
      </c>
      <c r="G36" t="s">
        <v>225</v>
      </c>
      <c r="H36">
        <v>863</v>
      </c>
      <c r="I36" t="s">
        <v>227</v>
      </c>
      <c r="J36" t="s">
        <v>232</v>
      </c>
    </row>
    <row r="37" spans="1:10" x14ac:dyDescent="0.2">
      <c r="A37" t="s">
        <v>45</v>
      </c>
      <c r="B37" t="s">
        <v>210</v>
      </c>
      <c r="C37" t="s">
        <v>215</v>
      </c>
      <c r="D37" s="3">
        <v>46225</v>
      </c>
      <c r="E37" t="s">
        <v>221</v>
      </c>
      <c r="F37">
        <v>25401</v>
      </c>
      <c r="G37" t="s">
        <v>225</v>
      </c>
      <c r="H37">
        <v>692</v>
      </c>
      <c r="I37" t="s">
        <v>227</v>
      </c>
      <c r="J37" t="s">
        <v>230</v>
      </c>
    </row>
    <row r="38" spans="1:10" x14ac:dyDescent="0.2">
      <c r="A38" t="s">
        <v>46</v>
      </c>
      <c r="B38" t="s">
        <v>210</v>
      </c>
      <c r="C38" t="s">
        <v>214</v>
      </c>
      <c r="D38" s="3">
        <v>46204</v>
      </c>
      <c r="E38" t="s">
        <v>222</v>
      </c>
      <c r="F38">
        <v>11486</v>
      </c>
      <c r="G38" t="s">
        <v>224</v>
      </c>
      <c r="H38">
        <v>820</v>
      </c>
      <c r="I38" t="s">
        <v>227</v>
      </c>
      <c r="J38" t="s">
        <v>229</v>
      </c>
    </row>
    <row r="39" spans="1:10" x14ac:dyDescent="0.2">
      <c r="A39" t="s">
        <v>47</v>
      </c>
      <c r="B39" t="s">
        <v>233</v>
      </c>
      <c r="C39" t="s">
        <v>217</v>
      </c>
      <c r="D39" s="3">
        <v>46083</v>
      </c>
      <c r="E39" t="s">
        <v>220</v>
      </c>
      <c r="F39">
        <v>44712</v>
      </c>
      <c r="G39" t="s">
        <v>235</v>
      </c>
      <c r="H39">
        <v>300</v>
      </c>
      <c r="I39" t="s">
        <v>226</v>
      </c>
      <c r="J39" t="s">
        <v>231</v>
      </c>
    </row>
    <row r="40" spans="1:10" x14ac:dyDescent="0.2">
      <c r="A40" t="s">
        <v>48</v>
      </c>
      <c r="B40" t="s">
        <v>212</v>
      </c>
      <c r="C40" t="s">
        <v>217</v>
      </c>
      <c r="D40" s="3">
        <v>46117</v>
      </c>
      <c r="E40" t="s">
        <v>222</v>
      </c>
      <c r="F40">
        <v>15948</v>
      </c>
      <c r="G40" t="s">
        <v>225</v>
      </c>
      <c r="H40">
        <v>942</v>
      </c>
      <c r="I40" t="s">
        <v>227</v>
      </c>
      <c r="J40" t="s">
        <v>229</v>
      </c>
    </row>
    <row r="41" spans="1:10" x14ac:dyDescent="0.2">
      <c r="A41" t="s">
        <v>49</v>
      </c>
      <c r="B41" t="s">
        <v>212</v>
      </c>
      <c r="C41" t="s">
        <v>219</v>
      </c>
      <c r="D41" s="3">
        <v>46255</v>
      </c>
      <c r="E41" t="s">
        <v>220</v>
      </c>
      <c r="F41">
        <v>12156</v>
      </c>
      <c r="G41" t="s">
        <v>225</v>
      </c>
      <c r="H41">
        <v>496</v>
      </c>
      <c r="I41" t="s">
        <v>226</v>
      </c>
      <c r="J41" t="s">
        <v>231</v>
      </c>
    </row>
    <row r="42" spans="1:10" x14ac:dyDescent="0.2">
      <c r="A42" t="s">
        <v>50</v>
      </c>
      <c r="B42" t="s">
        <v>210</v>
      </c>
      <c r="C42" t="s">
        <v>219</v>
      </c>
      <c r="D42" s="3">
        <v>46225</v>
      </c>
      <c r="E42" t="s">
        <v>221</v>
      </c>
      <c r="F42">
        <v>30426</v>
      </c>
      <c r="G42" t="s">
        <v>235</v>
      </c>
      <c r="H42">
        <v>640</v>
      </c>
      <c r="I42" t="s">
        <v>227</v>
      </c>
      <c r="J42" t="s">
        <v>230</v>
      </c>
    </row>
    <row r="43" spans="1:10" x14ac:dyDescent="0.2">
      <c r="A43" t="s">
        <v>51</v>
      </c>
      <c r="B43" t="s">
        <v>212</v>
      </c>
      <c r="C43" t="s">
        <v>215</v>
      </c>
      <c r="D43" s="3">
        <v>46188</v>
      </c>
      <c r="E43" t="s">
        <v>221</v>
      </c>
      <c r="F43">
        <v>39328</v>
      </c>
      <c r="G43" t="s">
        <v>223</v>
      </c>
      <c r="H43">
        <v>846</v>
      </c>
      <c r="I43" t="s">
        <v>227</v>
      </c>
      <c r="J43" t="s">
        <v>231</v>
      </c>
    </row>
    <row r="44" spans="1:10" x14ac:dyDescent="0.2">
      <c r="A44" t="s">
        <v>52</v>
      </c>
      <c r="B44" t="s">
        <v>234</v>
      </c>
      <c r="C44" t="s">
        <v>217</v>
      </c>
      <c r="D44" s="3">
        <v>46129</v>
      </c>
      <c r="E44" t="s">
        <v>220</v>
      </c>
      <c r="F44">
        <v>46667</v>
      </c>
      <c r="G44" t="s">
        <v>223</v>
      </c>
      <c r="H44">
        <v>88</v>
      </c>
      <c r="I44" t="s">
        <v>226</v>
      </c>
      <c r="J44" t="s">
        <v>229</v>
      </c>
    </row>
    <row r="45" spans="1:10" x14ac:dyDescent="0.2">
      <c r="A45" t="s">
        <v>53</v>
      </c>
      <c r="B45" t="s">
        <v>211</v>
      </c>
      <c r="C45" t="s">
        <v>216</v>
      </c>
      <c r="D45" s="3">
        <v>46250</v>
      </c>
      <c r="E45" t="s">
        <v>220</v>
      </c>
      <c r="F45">
        <v>34447</v>
      </c>
      <c r="G45" t="s">
        <v>228</v>
      </c>
      <c r="H45">
        <v>987</v>
      </c>
      <c r="I45" t="s">
        <v>226</v>
      </c>
      <c r="J45" t="s">
        <v>231</v>
      </c>
    </row>
    <row r="46" spans="1:10" x14ac:dyDescent="0.2">
      <c r="A46" t="s">
        <v>54</v>
      </c>
      <c r="B46" t="s">
        <v>212</v>
      </c>
      <c r="C46" t="s">
        <v>214</v>
      </c>
      <c r="D46" s="3">
        <v>46106</v>
      </c>
      <c r="E46" t="s">
        <v>220</v>
      </c>
      <c r="F46">
        <v>26781</v>
      </c>
      <c r="G46" t="s">
        <v>225</v>
      </c>
      <c r="H46">
        <v>796</v>
      </c>
      <c r="I46" t="s">
        <v>226</v>
      </c>
      <c r="J46" t="s">
        <v>231</v>
      </c>
    </row>
    <row r="47" spans="1:10" x14ac:dyDescent="0.2">
      <c r="A47" t="s">
        <v>55</v>
      </c>
      <c r="B47" t="s">
        <v>212</v>
      </c>
      <c r="C47" t="s">
        <v>216</v>
      </c>
      <c r="D47" s="3">
        <v>46198</v>
      </c>
      <c r="E47" t="s">
        <v>221</v>
      </c>
      <c r="F47">
        <v>33327</v>
      </c>
      <c r="G47" t="s">
        <v>225</v>
      </c>
      <c r="H47">
        <v>642</v>
      </c>
      <c r="I47" t="s">
        <v>227</v>
      </c>
      <c r="J47" t="s">
        <v>231</v>
      </c>
    </row>
    <row r="48" spans="1:10" x14ac:dyDescent="0.2">
      <c r="A48" t="s">
        <v>56</v>
      </c>
      <c r="B48" t="s">
        <v>210</v>
      </c>
      <c r="C48" t="s">
        <v>218</v>
      </c>
      <c r="D48" s="3">
        <v>46141</v>
      </c>
      <c r="E48" t="s">
        <v>222</v>
      </c>
      <c r="F48">
        <v>35575</v>
      </c>
      <c r="G48" t="s">
        <v>235</v>
      </c>
      <c r="H48">
        <v>728</v>
      </c>
      <c r="I48" t="s">
        <v>227</v>
      </c>
      <c r="J48" t="s">
        <v>229</v>
      </c>
    </row>
    <row r="49" spans="1:10" x14ac:dyDescent="0.2">
      <c r="A49" t="s">
        <v>57</v>
      </c>
      <c r="B49" t="s">
        <v>211</v>
      </c>
      <c r="C49" t="s">
        <v>216</v>
      </c>
      <c r="D49" s="3">
        <v>46143</v>
      </c>
      <c r="E49" t="s">
        <v>220</v>
      </c>
      <c r="F49">
        <v>12478</v>
      </c>
      <c r="G49" t="s">
        <v>223</v>
      </c>
      <c r="H49">
        <v>885</v>
      </c>
      <c r="I49" t="s">
        <v>226</v>
      </c>
      <c r="J49" t="s">
        <v>232</v>
      </c>
    </row>
    <row r="50" spans="1:10" x14ac:dyDescent="0.2">
      <c r="A50" t="s">
        <v>58</v>
      </c>
      <c r="B50" t="s">
        <v>212</v>
      </c>
      <c r="C50" t="s">
        <v>219</v>
      </c>
      <c r="D50" s="3">
        <v>46112</v>
      </c>
      <c r="E50" t="s">
        <v>221</v>
      </c>
      <c r="F50">
        <v>9130</v>
      </c>
      <c r="G50" t="s">
        <v>228</v>
      </c>
      <c r="H50">
        <v>277</v>
      </c>
      <c r="I50" t="s">
        <v>227</v>
      </c>
      <c r="J50" t="s">
        <v>231</v>
      </c>
    </row>
    <row r="51" spans="1:10" x14ac:dyDescent="0.2">
      <c r="A51" t="s">
        <v>59</v>
      </c>
      <c r="B51" t="s">
        <v>234</v>
      </c>
      <c r="C51" t="s">
        <v>213</v>
      </c>
      <c r="D51" s="3">
        <v>46212</v>
      </c>
      <c r="E51" t="s">
        <v>222</v>
      </c>
      <c r="F51">
        <v>25988</v>
      </c>
      <c r="G51" t="s">
        <v>224</v>
      </c>
      <c r="H51">
        <v>691</v>
      </c>
      <c r="I51" t="s">
        <v>227</v>
      </c>
      <c r="J51" t="s">
        <v>231</v>
      </c>
    </row>
    <row r="52" spans="1:10" x14ac:dyDescent="0.2">
      <c r="A52" t="s">
        <v>60</v>
      </c>
      <c r="B52" t="s">
        <v>211</v>
      </c>
      <c r="C52" t="s">
        <v>214</v>
      </c>
      <c r="D52" s="3">
        <v>46164</v>
      </c>
      <c r="E52" t="s">
        <v>222</v>
      </c>
      <c r="F52">
        <v>41322</v>
      </c>
      <c r="G52" t="s">
        <v>223</v>
      </c>
      <c r="H52">
        <v>84</v>
      </c>
      <c r="I52" t="s">
        <v>227</v>
      </c>
      <c r="J52" t="s">
        <v>230</v>
      </c>
    </row>
    <row r="53" spans="1:10" x14ac:dyDescent="0.2">
      <c r="A53" t="s">
        <v>61</v>
      </c>
      <c r="B53" t="s">
        <v>211</v>
      </c>
      <c r="C53" t="s">
        <v>217</v>
      </c>
      <c r="D53" s="3">
        <v>46228</v>
      </c>
      <c r="E53" t="s">
        <v>220</v>
      </c>
      <c r="F53">
        <v>29495</v>
      </c>
      <c r="G53" t="s">
        <v>223</v>
      </c>
      <c r="H53">
        <v>55</v>
      </c>
      <c r="I53" t="s">
        <v>226</v>
      </c>
      <c r="J53" t="s">
        <v>231</v>
      </c>
    </row>
    <row r="54" spans="1:10" x14ac:dyDescent="0.2">
      <c r="A54" t="s">
        <v>62</v>
      </c>
      <c r="B54" t="s">
        <v>210</v>
      </c>
      <c r="C54" t="s">
        <v>216</v>
      </c>
      <c r="D54" s="3">
        <v>46140</v>
      </c>
      <c r="E54" t="s">
        <v>220</v>
      </c>
      <c r="F54">
        <v>43007</v>
      </c>
      <c r="G54" t="s">
        <v>228</v>
      </c>
      <c r="H54">
        <v>632</v>
      </c>
      <c r="I54" t="s">
        <v>226</v>
      </c>
      <c r="J54" t="s">
        <v>231</v>
      </c>
    </row>
    <row r="55" spans="1:10" x14ac:dyDescent="0.2">
      <c r="A55" t="s">
        <v>63</v>
      </c>
      <c r="B55" t="s">
        <v>211</v>
      </c>
      <c r="C55" t="s">
        <v>213</v>
      </c>
      <c r="D55" s="3">
        <v>46220</v>
      </c>
      <c r="E55" t="s">
        <v>222</v>
      </c>
      <c r="F55">
        <v>10697</v>
      </c>
      <c r="G55" t="s">
        <v>235</v>
      </c>
      <c r="H55">
        <v>189</v>
      </c>
      <c r="I55" t="s">
        <v>227</v>
      </c>
      <c r="J55" t="s">
        <v>231</v>
      </c>
    </row>
    <row r="56" spans="1:10" x14ac:dyDescent="0.2">
      <c r="A56" t="s">
        <v>64</v>
      </c>
      <c r="B56" t="s">
        <v>210</v>
      </c>
      <c r="C56" t="s">
        <v>216</v>
      </c>
      <c r="D56" s="3">
        <v>46246</v>
      </c>
      <c r="E56" t="s">
        <v>221</v>
      </c>
      <c r="F56">
        <v>1107</v>
      </c>
      <c r="G56" t="s">
        <v>235</v>
      </c>
      <c r="H56">
        <v>853</v>
      </c>
      <c r="I56" t="s">
        <v>227</v>
      </c>
      <c r="J56" t="s">
        <v>229</v>
      </c>
    </row>
    <row r="57" spans="1:10" x14ac:dyDescent="0.2">
      <c r="A57" t="s">
        <v>65</v>
      </c>
      <c r="B57" t="s">
        <v>234</v>
      </c>
      <c r="C57" t="s">
        <v>217</v>
      </c>
      <c r="D57" s="3">
        <v>46251</v>
      </c>
      <c r="E57" t="s">
        <v>221</v>
      </c>
      <c r="F57">
        <v>15589</v>
      </c>
      <c r="G57" t="s">
        <v>225</v>
      </c>
      <c r="H57">
        <v>623</v>
      </c>
      <c r="I57" t="s">
        <v>227</v>
      </c>
      <c r="J57" t="s">
        <v>230</v>
      </c>
    </row>
    <row r="58" spans="1:10" x14ac:dyDescent="0.2">
      <c r="A58" t="s">
        <v>66</v>
      </c>
      <c r="B58" t="s">
        <v>233</v>
      </c>
      <c r="C58" t="s">
        <v>213</v>
      </c>
      <c r="D58" s="3">
        <v>46227</v>
      </c>
      <c r="E58" t="s">
        <v>221</v>
      </c>
      <c r="F58">
        <v>41201</v>
      </c>
      <c r="G58" t="s">
        <v>235</v>
      </c>
      <c r="H58">
        <v>581</v>
      </c>
      <c r="I58" t="s">
        <v>227</v>
      </c>
      <c r="J58" t="s">
        <v>230</v>
      </c>
    </row>
    <row r="59" spans="1:10" x14ac:dyDescent="0.2">
      <c r="A59" t="s">
        <v>67</v>
      </c>
      <c r="B59" t="s">
        <v>210</v>
      </c>
      <c r="C59" t="s">
        <v>214</v>
      </c>
      <c r="D59" s="3">
        <v>46118</v>
      </c>
      <c r="E59" t="s">
        <v>220</v>
      </c>
      <c r="F59">
        <v>41381</v>
      </c>
      <c r="G59" t="s">
        <v>225</v>
      </c>
      <c r="H59">
        <v>20</v>
      </c>
      <c r="I59" t="s">
        <v>226</v>
      </c>
      <c r="J59" t="s">
        <v>229</v>
      </c>
    </row>
    <row r="60" spans="1:10" x14ac:dyDescent="0.2">
      <c r="A60" t="s">
        <v>68</v>
      </c>
      <c r="B60" t="s">
        <v>211</v>
      </c>
      <c r="C60" t="s">
        <v>213</v>
      </c>
      <c r="D60" s="3">
        <v>46114</v>
      </c>
      <c r="E60" t="s">
        <v>220</v>
      </c>
      <c r="F60">
        <v>44071</v>
      </c>
      <c r="G60" t="s">
        <v>225</v>
      </c>
      <c r="H60">
        <v>662</v>
      </c>
      <c r="I60" t="s">
        <v>226</v>
      </c>
      <c r="J60" t="s">
        <v>232</v>
      </c>
    </row>
    <row r="61" spans="1:10" x14ac:dyDescent="0.2">
      <c r="A61" t="s">
        <v>69</v>
      </c>
      <c r="B61" t="s">
        <v>212</v>
      </c>
      <c r="C61" t="s">
        <v>219</v>
      </c>
      <c r="D61" s="3">
        <v>46230</v>
      </c>
      <c r="E61" t="s">
        <v>221</v>
      </c>
      <c r="F61">
        <v>8884</v>
      </c>
      <c r="G61" t="s">
        <v>235</v>
      </c>
      <c r="H61">
        <v>212</v>
      </c>
      <c r="I61" t="s">
        <v>227</v>
      </c>
      <c r="J61" t="s">
        <v>229</v>
      </c>
    </row>
    <row r="62" spans="1:10" x14ac:dyDescent="0.2">
      <c r="A62" t="s">
        <v>70</v>
      </c>
      <c r="B62" t="s">
        <v>211</v>
      </c>
      <c r="C62" t="s">
        <v>218</v>
      </c>
      <c r="D62" s="3">
        <v>46095</v>
      </c>
      <c r="E62" t="s">
        <v>221</v>
      </c>
      <c r="F62">
        <v>41177</v>
      </c>
      <c r="G62" t="s">
        <v>224</v>
      </c>
      <c r="H62">
        <v>918</v>
      </c>
      <c r="I62" t="s">
        <v>227</v>
      </c>
      <c r="J62" t="s">
        <v>232</v>
      </c>
    </row>
    <row r="63" spans="1:10" x14ac:dyDescent="0.2">
      <c r="A63" t="s">
        <v>71</v>
      </c>
      <c r="B63" t="s">
        <v>234</v>
      </c>
      <c r="C63" t="s">
        <v>218</v>
      </c>
      <c r="D63" s="3">
        <v>46111</v>
      </c>
      <c r="E63" t="s">
        <v>220</v>
      </c>
      <c r="F63">
        <v>31875</v>
      </c>
      <c r="G63" t="s">
        <v>223</v>
      </c>
      <c r="H63">
        <v>257</v>
      </c>
      <c r="I63" t="s">
        <v>226</v>
      </c>
      <c r="J63" t="s">
        <v>232</v>
      </c>
    </row>
    <row r="64" spans="1:10" x14ac:dyDescent="0.2">
      <c r="A64" t="s">
        <v>72</v>
      </c>
      <c r="B64" t="s">
        <v>210</v>
      </c>
      <c r="C64" t="s">
        <v>213</v>
      </c>
      <c r="D64" s="3">
        <v>46138</v>
      </c>
      <c r="E64" t="s">
        <v>220</v>
      </c>
      <c r="F64">
        <v>35505</v>
      </c>
      <c r="G64" t="s">
        <v>235</v>
      </c>
      <c r="H64">
        <v>232</v>
      </c>
      <c r="I64" t="s">
        <v>226</v>
      </c>
      <c r="J64" t="s">
        <v>229</v>
      </c>
    </row>
    <row r="65" spans="1:10" x14ac:dyDescent="0.2">
      <c r="A65" t="s">
        <v>73</v>
      </c>
      <c r="B65" t="s">
        <v>211</v>
      </c>
      <c r="C65" t="s">
        <v>217</v>
      </c>
      <c r="D65" s="3">
        <v>46195</v>
      </c>
      <c r="E65" t="s">
        <v>222</v>
      </c>
      <c r="F65">
        <v>9361</v>
      </c>
      <c r="G65" t="s">
        <v>223</v>
      </c>
      <c r="H65">
        <v>402</v>
      </c>
      <c r="I65" t="s">
        <v>227</v>
      </c>
      <c r="J65" t="s">
        <v>229</v>
      </c>
    </row>
    <row r="66" spans="1:10" x14ac:dyDescent="0.2">
      <c r="A66" t="s">
        <v>74</v>
      </c>
      <c r="B66" t="s">
        <v>210</v>
      </c>
      <c r="C66" t="s">
        <v>218</v>
      </c>
      <c r="D66" s="3">
        <v>46104</v>
      </c>
      <c r="E66" t="s">
        <v>221</v>
      </c>
      <c r="F66">
        <v>17632</v>
      </c>
      <c r="G66" t="s">
        <v>228</v>
      </c>
      <c r="H66">
        <v>373</v>
      </c>
      <c r="I66" t="s">
        <v>227</v>
      </c>
      <c r="J66" t="s">
        <v>229</v>
      </c>
    </row>
    <row r="67" spans="1:10" x14ac:dyDescent="0.2">
      <c r="A67" t="s">
        <v>75</v>
      </c>
      <c r="B67" t="s">
        <v>211</v>
      </c>
      <c r="C67" t="s">
        <v>217</v>
      </c>
      <c r="D67" s="3">
        <v>46203</v>
      </c>
      <c r="E67" t="s">
        <v>220</v>
      </c>
      <c r="F67">
        <v>45027</v>
      </c>
      <c r="G67" t="s">
        <v>223</v>
      </c>
      <c r="H67">
        <v>215</v>
      </c>
      <c r="I67" t="s">
        <v>226</v>
      </c>
      <c r="J67" t="s">
        <v>230</v>
      </c>
    </row>
    <row r="68" spans="1:10" x14ac:dyDescent="0.2">
      <c r="A68" t="s">
        <v>76</v>
      </c>
      <c r="B68" t="s">
        <v>234</v>
      </c>
      <c r="C68" t="s">
        <v>217</v>
      </c>
      <c r="D68" s="3">
        <v>46182</v>
      </c>
      <c r="E68" t="s">
        <v>221</v>
      </c>
      <c r="F68">
        <v>10071</v>
      </c>
      <c r="G68" t="s">
        <v>235</v>
      </c>
      <c r="H68">
        <v>649</v>
      </c>
      <c r="I68" t="s">
        <v>227</v>
      </c>
      <c r="J68" t="s">
        <v>232</v>
      </c>
    </row>
    <row r="69" spans="1:10" x14ac:dyDescent="0.2">
      <c r="A69" t="s">
        <v>77</v>
      </c>
      <c r="B69" t="s">
        <v>234</v>
      </c>
      <c r="C69" t="s">
        <v>214</v>
      </c>
      <c r="D69" s="3">
        <v>46211</v>
      </c>
      <c r="E69" t="s">
        <v>221</v>
      </c>
      <c r="F69">
        <v>29814</v>
      </c>
      <c r="G69" t="s">
        <v>225</v>
      </c>
      <c r="H69">
        <v>472</v>
      </c>
      <c r="I69" t="s">
        <v>227</v>
      </c>
      <c r="J69" t="s">
        <v>230</v>
      </c>
    </row>
    <row r="70" spans="1:10" x14ac:dyDescent="0.2">
      <c r="A70" t="s">
        <v>78</v>
      </c>
      <c r="B70" t="s">
        <v>212</v>
      </c>
      <c r="C70" t="s">
        <v>219</v>
      </c>
      <c r="D70" s="3">
        <v>46212</v>
      </c>
      <c r="E70" t="s">
        <v>220</v>
      </c>
      <c r="F70">
        <v>32746</v>
      </c>
      <c r="G70" t="s">
        <v>235</v>
      </c>
      <c r="H70">
        <v>993</v>
      </c>
      <c r="I70" t="s">
        <v>226</v>
      </c>
      <c r="J70" t="s">
        <v>231</v>
      </c>
    </row>
    <row r="71" spans="1:10" x14ac:dyDescent="0.2">
      <c r="A71" t="s">
        <v>79</v>
      </c>
      <c r="B71" t="s">
        <v>211</v>
      </c>
      <c r="C71" t="s">
        <v>217</v>
      </c>
      <c r="D71" s="3">
        <v>46109</v>
      </c>
      <c r="E71" t="s">
        <v>220</v>
      </c>
      <c r="F71">
        <v>46699</v>
      </c>
      <c r="G71" t="s">
        <v>235</v>
      </c>
      <c r="H71">
        <v>891</v>
      </c>
      <c r="I71" t="s">
        <v>226</v>
      </c>
      <c r="J71" t="s">
        <v>229</v>
      </c>
    </row>
    <row r="72" spans="1:10" x14ac:dyDescent="0.2">
      <c r="A72" t="s">
        <v>80</v>
      </c>
      <c r="B72" t="s">
        <v>234</v>
      </c>
      <c r="C72" t="s">
        <v>214</v>
      </c>
      <c r="D72" s="3">
        <v>46102</v>
      </c>
      <c r="E72" t="s">
        <v>220</v>
      </c>
      <c r="F72">
        <v>39955</v>
      </c>
      <c r="G72" t="s">
        <v>223</v>
      </c>
      <c r="H72">
        <v>315</v>
      </c>
      <c r="I72" t="s">
        <v>226</v>
      </c>
      <c r="J72" t="s">
        <v>230</v>
      </c>
    </row>
    <row r="73" spans="1:10" x14ac:dyDescent="0.2">
      <c r="A73" t="s">
        <v>81</v>
      </c>
      <c r="B73" t="s">
        <v>210</v>
      </c>
      <c r="C73" t="s">
        <v>213</v>
      </c>
      <c r="D73" s="3">
        <v>46196</v>
      </c>
      <c r="E73" t="s">
        <v>221</v>
      </c>
      <c r="F73">
        <v>33145</v>
      </c>
      <c r="G73" t="s">
        <v>235</v>
      </c>
      <c r="H73">
        <v>424</v>
      </c>
      <c r="I73" t="s">
        <v>227</v>
      </c>
      <c r="J73" t="s">
        <v>231</v>
      </c>
    </row>
    <row r="74" spans="1:10" x14ac:dyDescent="0.2">
      <c r="A74" t="s">
        <v>82</v>
      </c>
      <c r="B74" t="s">
        <v>211</v>
      </c>
      <c r="C74" t="s">
        <v>216</v>
      </c>
      <c r="D74" s="3">
        <v>46234</v>
      </c>
      <c r="E74" t="s">
        <v>222</v>
      </c>
      <c r="F74">
        <v>44109</v>
      </c>
      <c r="G74" t="s">
        <v>223</v>
      </c>
      <c r="H74">
        <v>436</v>
      </c>
      <c r="I74" t="s">
        <v>227</v>
      </c>
      <c r="J74" t="s">
        <v>232</v>
      </c>
    </row>
    <row r="75" spans="1:10" x14ac:dyDescent="0.2">
      <c r="A75" t="s">
        <v>83</v>
      </c>
      <c r="B75" t="s">
        <v>233</v>
      </c>
      <c r="C75" t="s">
        <v>215</v>
      </c>
      <c r="D75" s="3">
        <v>46208</v>
      </c>
      <c r="E75" t="s">
        <v>220</v>
      </c>
      <c r="F75">
        <v>31743</v>
      </c>
      <c r="G75" t="s">
        <v>223</v>
      </c>
      <c r="H75">
        <v>590</v>
      </c>
      <c r="I75" t="s">
        <v>226</v>
      </c>
      <c r="J75" t="s">
        <v>230</v>
      </c>
    </row>
    <row r="76" spans="1:10" x14ac:dyDescent="0.2">
      <c r="A76" t="s">
        <v>84</v>
      </c>
      <c r="B76" t="s">
        <v>211</v>
      </c>
      <c r="C76" t="s">
        <v>213</v>
      </c>
      <c r="D76" s="3">
        <v>46086</v>
      </c>
      <c r="E76" t="s">
        <v>221</v>
      </c>
      <c r="F76">
        <v>9430</v>
      </c>
      <c r="G76" t="s">
        <v>225</v>
      </c>
      <c r="H76">
        <v>588</v>
      </c>
      <c r="I76" t="s">
        <v>227</v>
      </c>
      <c r="J76" t="s">
        <v>232</v>
      </c>
    </row>
    <row r="77" spans="1:10" x14ac:dyDescent="0.2">
      <c r="A77" t="s">
        <v>85</v>
      </c>
      <c r="B77" t="s">
        <v>233</v>
      </c>
      <c r="C77" t="s">
        <v>214</v>
      </c>
      <c r="D77" s="3">
        <v>46164</v>
      </c>
      <c r="E77" t="s">
        <v>220</v>
      </c>
      <c r="F77">
        <v>20298</v>
      </c>
      <c r="G77" t="s">
        <v>235</v>
      </c>
      <c r="H77">
        <v>274</v>
      </c>
      <c r="I77" t="s">
        <v>226</v>
      </c>
      <c r="J77" t="s">
        <v>230</v>
      </c>
    </row>
    <row r="78" spans="1:10" x14ac:dyDescent="0.2">
      <c r="A78" t="s">
        <v>86</v>
      </c>
      <c r="B78" t="s">
        <v>234</v>
      </c>
      <c r="C78" t="s">
        <v>216</v>
      </c>
      <c r="D78" s="3">
        <v>46117</v>
      </c>
      <c r="E78" t="s">
        <v>220</v>
      </c>
      <c r="F78">
        <v>6090</v>
      </c>
      <c r="G78" t="s">
        <v>228</v>
      </c>
      <c r="H78">
        <v>27</v>
      </c>
      <c r="I78" t="s">
        <v>226</v>
      </c>
      <c r="J78" t="s">
        <v>229</v>
      </c>
    </row>
    <row r="79" spans="1:10" x14ac:dyDescent="0.2">
      <c r="A79" t="s">
        <v>87</v>
      </c>
      <c r="B79" t="s">
        <v>211</v>
      </c>
      <c r="C79" t="s">
        <v>219</v>
      </c>
      <c r="D79" s="3">
        <v>46208</v>
      </c>
      <c r="E79" t="s">
        <v>222</v>
      </c>
      <c r="F79">
        <v>10866</v>
      </c>
      <c r="G79" t="s">
        <v>235</v>
      </c>
      <c r="H79">
        <v>339</v>
      </c>
      <c r="I79" t="s">
        <v>227</v>
      </c>
      <c r="J79" t="s">
        <v>229</v>
      </c>
    </row>
    <row r="80" spans="1:10" x14ac:dyDescent="0.2">
      <c r="A80" t="s">
        <v>88</v>
      </c>
      <c r="B80" t="s">
        <v>210</v>
      </c>
      <c r="C80" t="s">
        <v>217</v>
      </c>
      <c r="D80" s="3">
        <v>46093</v>
      </c>
      <c r="E80" t="s">
        <v>221</v>
      </c>
      <c r="F80">
        <v>34616</v>
      </c>
      <c r="G80" t="s">
        <v>223</v>
      </c>
      <c r="H80">
        <v>167</v>
      </c>
      <c r="I80" t="s">
        <v>227</v>
      </c>
      <c r="J80" t="s">
        <v>229</v>
      </c>
    </row>
    <row r="81" spans="1:10" x14ac:dyDescent="0.2">
      <c r="A81" t="s">
        <v>89</v>
      </c>
      <c r="B81" t="s">
        <v>210</v>
      </c>
      <c r="C81" t="s">
        <v>218</v>
      </c>
      <c r="D81" s="3">
        <v>46095</v>
      </c>
      <c r="E81" t="s">
        <v>220</v>
      </c>
      <c r="F81">
        <v>28135</v>
      </c>
      <c r="G81" t="s">
        <v>224</v>
      </c>
      <c r="H81">
        <v>303</v>
      </c>
      <c r="I81" t="s">
        <v>226</v>
      </c>
      <c r="J81" t="s">
        <v>230</v>
      </c>
    </row>
    <row r="82" spans="1:10" x14ac:dyDescent="0.2">
      <c r="A82" t="s">
        <v>90</v>
      </c>
      <c r="B82" t="s">
        <v>212</v>
      </c>
      <c r="C82" t="s">
        <v>215</v>
      </c>
      <c r="D82" s="3">
        <v>46120</v>
      </c>
      <c r="E82" t="s">
        <v>222</v>
      </c>
      <c r="F82">
        <v>19358</v>
      </c>
      <c r="G82" t="s">
        <v>225</v>
      </c>
      <c r="H82">
        <v>662</v>
      </c>
      <c r="I82" t="s">
        <v>227</v>
      </c>
      <c r="J82" t="s">
        <v>230</v>
      </c>
    </row>
    <row r="83" spans="1:10" x14ac:dyDescent="0.2">
      <c r="A83" t="s">
        <v>91</v>
      </c>
      <c r="B83" t="s">
        <v>210</v>
      </c>
      <c r="C83" t="s">
        <v>216</v>
      </c>
      <c r="D83" s="3">
        <v>46112</v>
      </c>
      <c r="E83" t="s">
        <v>221</v>
      </c>
      <c r="F83">
        <v>7048</v>
      </c>
      <c r="G83" t="s">
        <v>235</v>
      </c>
      <c r="H83">
        <v>373</v>
      </c>
      <c r="I83" t="s">
        <v>227</v>
      </c>
      <c r="J83" t="s">
        <v>230</v>
      </c>
    </row>
    <row r="84" spans="1:10" x14ac:dyDescent="0.2">
      <c r="A84" t="s">
        <v>92</v>
      </c>
      <c r="B84" t="s">
        <v>233</v>
      </c>
      <c r="C84" t="s">
        <v>217</v>
      </c>
      <c r="D84" s="3">
        <v>46157</v>
      </c>
      <c r="E84" t="s">
        <v>220</v>
      </c>
      <c r="F84">
        <v>32189</v>
      </c>
      <c r="G84" t="s">
        <v>225</v>
      </c>
      <c r="H84">
        <v>228</v>
      </c>
      <c r="I84" t="s">
        <v>226</v>
      </c>
      <c r="J84" t="s">
        <v>230</v>
      </c>
    </row>
    <row r="85" spans="1:10" x14ac:dyDescent="0.2">
      <c r="A85" t="s">
        <v>93</v>
      </c>
      <c r="B85" t="s">
        <v>211</v>
      </c>
      <c r="C85" t="s">
        <v>219</v>
      </c>
      <c r="D85" s="3">
        <v>46110</v>
      </c>
      <c r="E85" t="s">
        <v>220</v>
      </c>
      <c r="F85">
        <v>39885</v>
      </c>
      <c r="G85" t="s">
        <v>235</v>
      </c>
      <c r="H85">
        <v>733</v>
      </c>
      <c r="I85" t="s">
        <v>226</v>
      </c>
      <c r="J85" t="s">
        <v>229</v>
      </c>
    </row>
    <row r="86" spans="1:10" x14ac:dyDescent="0.2">
      <c r="A86" t="s">
        <v>94</v>
      </c>
      <c r="B86" t="s">
        <v>234</v>
      </c>
      <c r="C86" t="s">
        <v>216</v>
      </c>
      <c r="D86" s="3">
        <v>46121</v>
      </c>
      <c r="E86" t="s">
        <v>220</v>
      </c>
      <c r="F86">
        <v>6133</v>
      </c>
      <c r="G86" t="s">
        <v>235</v>
      </c>
      <c r="H86">
        <v>203</v>
      </c>
      <c r="I86" t="s">
        <v>226</v>
      </c>
      <c r="J86" t="s">
        <v>230</v>
      </c>
    </row>
    <row r="87" spans="1:10" x14ac:dyDescent="0.2">
      <c r="A87" t="s">
        <v>95</v>
      </c>
      <c r="B87" t="s">
        <v>211</v>
      </c>
      <c r="C87" t="s">
        <v>216</v>
      </c>
      <c r="D87" s="3">
        <v>46162</v>
      </c>
      <c r="E87" t="s">
        <v>222</v>
      </c>
      <c r="F87">
        <v>36938</v>
      </c>
      <c r="G87" t="s">
        <v>228</v>
      </c>
      <c r="H87">
        <v>89</v>
      </c>
      <c r="I87" t="s">
        <v>227</v>
      </c>
      <c r="J87" t="s">
        <v>229</v>
      </c>
    </row>
    <row r="88" spans="1:10" x14ac:dyDescent="0.2">
      <c r="A88" t="s">
        <v>96</v>
      </c>
      <c r="B88" t="s">
        <v>212</v>
      </c>
      <c r="C88" t="s">
        <v>214</v>
      </c>
      <c r="D88" s="3">
        <v>46112</v>
      </c>
      <c r="E88" t="s">
        <v>220</v>
      </c>
      <c r="F88">
        <v>18792</v>
      </c>
      <c r="G88" t="s">
        <v>223</v>
      </c>
      <c r="H88">
        <v>869</v>
      </c>
      <c r="I88" t="s">
        <v>226</v>
      </c>
      <c r="J88" t="s">
        <v>229</v>
      </c>
    </row>
    <row r="89" spans="1:10" x14ac:dyDescent="0.2">
      <c r="A89" t="s">
        <v>97</v>
      </c>
      <c r="B89" t="s">
        <v>210</v>
      </c>
      <c r="C89" t="s">
        <v>218</v>
      </c>
      <c r="D89" s="3">
        <v>46105</v>
      </c>
      <c r="E89" t="s">
        <v>220</v>
      </c>
      <c r="F89">
        <v>19225</v>
      </c>
      <c r="G89" t="s">
        <v>224</v>
      </c>
      <c r="H89">
        <v>409</v>
      </c>
      <c r="I89" t="s">
        <v>226</v>
      </c>
      <c r="J89" t="s">
        <v>231</v>
      </c>
    </row>
    <row r="90" spans="1:10" x14ac:dyDescent="0.2">
      <c r="A90" t="s">
        <v>98</v>
      </c>
      <c r="B90" t="s">
        <v>234</v>
      </c>
      <c r="C90" t="s">
        <v>215</v>
      </c>
      <c r="D90" s="3">
        <v>46105</v>
      </c>
      <c r="E90" t="s">
        <v>221</v>
      </c>
      <c r="F90">
        <v>22584</v>
      </c>
      <c r="G90" t="s">
        <v>228</v>
      </c>
      <c r="H90">
        <v>293</v>
      </c>
      <c r="I90" t="s">
        <v>227</v>
      </c>
      <c r="J90" t="s">
        <v>230</v>
      </c>
    </row>
    <row r="91" spans="1:10" x14ac:dyDescent="0.2">
      <c r="A91" t="s">
        <v>99</v>
      </c>
      <c r="B91" t="s">
        <v>234</v>
      </c>
      <c r="C91" t="s">
        <v>217</v>
      </c>
      <c r="D91" s="3">
        <v>46149</v>
      </c>
      <c r="E91" t="s">
        <v>222</v>
      </c>
      <c r="F91">
        <v>28112</v>
      </c>
      <c r="G91" t="s">
        <v>223</v>
      </c>
      <c r="H91">
        <v>124</v>
      </c>
      <c r="I91" t="s">
        <v>227</v>
      </c>
      <c r="J91" t="s">
        <v>229</v>
      </c>
    </row>
    <row r="92" spans="1:10" x14ac:dyDescent="0.2">
      <c r="A92" t="s">
        <v>100</v>
      </c>
      <c r="B92" t="s">
        <v>211</v>
      </c>
      <c r="C92" t="s">
        <v>214</v>
      </c>
      <c r="D92" s="3">
        <v>46242</v>
      </c>
      <c r="E92" t="s">
        <v>222</v>
      </c>
      <c r="F92">
        <v>39371</v>
      </c>
      <c r="G92" t="s">
        <v>225</v>
      </c>
      <c r="H92">
        <v>560</v>
      </c>
      <c r="I92" t="s">
        <v>227</v>
      </c>
      <c r="J92" t="s">
        <v>231</v>
      </c>
    </row>
    <row r="93" spans="1:10" x14ac:dyDescent="0.2">
      <c r="A93" t="s">
        <v>101</v>
      </c>
      <c r="B93" t="s">
        <v>233</v>
      </c>
      <c r="C93" t="s">
        <v>219</v>
      </c>
      <c r="D93" s="3">
        <v>46128</v>
      </c>
      <c r="E93" t="s">
        <v>220</v>
      </c>
      <c r="F93">
        <v>44608</v>
      </c>
      <c r="G93" t="s">
        <v>228</v>
      </c>
      <c r="H93">
        <v>993</v>
      </c>
      <c r="I93" t="s">
        <v>226</v>
      </c>
      <c r="J93" t="s">
        <v>232</v>
      </c>
    </row>
    <row r="94" spans="1:10" x14ac:dyDescent="0.2">
      <c r="A94" t="s">
        <v>102</v>
      </c>
      <c r="B94" t="s">
        <v>233</v>
      </c>
      <c r="C94" t="s">
        <v>219</v>
      </c>
      <c r="D94" s="3">
        <v>46264</v>
      </c>
      <c r="E94" t="s">
        <v>220</v>
      </c>
      <c r="F94">
        <v>1265</v>
      </c>
      <c r="G94" t="s">
        <v>223</v>
      </c>
      <c r="H94">
        <v>145</v>
      </c>
      <c r="I94" t="s">
        <v>226</v>
      </c>
      <c r="J94" t="s">
        <v>232</v>
      </c>
    </row>
    <row r="95" spans="1:10" x14ac:dyDescent="0.2">
      <c r="A95" t="s">
        <v>103</v>
      </c>
      <c r="B95" t="s">
        <v>233</v>
      </c>
      <c r="C95" t="s">
        <v>219</v>
      </c>
      <c r="D95" s="3">
        <v>46264</v>
      </c>
      <c r="E95" t="s">
        <v>221</v>
      </c>
      <c r="F95">
        <v>38375</v>
      </c>
      <c r="G95" t="s">
        <v>228</v>
      </c>
      <c r="H95">
        <v>574</v>
      </c>
      <c r="I95" t="s">
        <v>227</v>
      </c>
      <c r="J95" t="s">
        <v>231</v>
      </c>
    </row>
    <row r="96" spans="1:10" x14ac:dyDescent="0.2">
      <c r="A96" t="s">
        <v>104</v>
      </c>
      <c r="B96" t="s">
        <v>211</v>
      </c>
      <c r="C96" t="s">
        <v>213</v>
      </c>
      <c r="D96" s="3">
        <v>46264</v>
      </c>
      <c r="E96" t="s">
        <v>221</v>
      </c>
      <c r="F96">
        <v>21025</v>
      </c>
      <c r="G96" t="s">
        <v>223</v>
      </c>
      <c r="H96">
        <v>513</v>
      </c>
      <c r="I96" t="s">
        <v>227</v>
      </c>
      <c r="J96" t="s">
        <v>229</v>
      </c>
    </row>
    <row r="97" spans="1:10" x14ac:dyDescent="0.2">
      <c r="A97" t="s">
        <v>105</v>
      </c>
      <c r="B97" t="s">
        <v>210</v>
      </c>
      <c r="C97" t="s">
        <v>214</v>
      </c>
      <c r="D97" s="3">
        <v>46265</v>
      </c>
      <c r="E97" t="s">
        <v>222</v>
      </c>
      <c r="F97">
        <v>18993</v>
      </c>
      <c r="G97" t="s">
        <v>235</v>
      </c>
      <c r="H97">
        <v>718</v>
      </c>
      <c r="I97" t="s">
        <v>227</v>
      </c>
      <c r="J97" t="s">
        <v>229</v>
      </c>
    </row>
    <row r="98" spans="1:10" x14ac:dyDescent="0.2">
      <c r="A98" t="s">
        <v>106</v>
      </c>
      <c r="B98" t="s">
        <v>212</v>
      </c>
      <c r="C98" t="s">
        <v>216</v>
      </c>
      <c r="D98" s="3">
        <v>46124</v>
      </c>
      <c r="E98" t="s">
        <v>221</v>
      </c>
      <c r="F98">
        <v>49807</v>
      </c>
      <c r="G98" t="s">
        <v>235</v>
      </c>
      <c r="H98">
        <v>215</v>
      </c>
      <c r="I98" t="s">
        <v>227</v>
      </c>
      <c r="J98" t="s">
        <v>231</v>
      </c>
    </row>
    <row r="99" spans="1:10" x14ac:dyDescent="0.2">
      <c r="A99" t="s">
        <v>107</v>
      </c>
      <c r="B99" t="s">
        <v>210</v>
      </c>
      <c r="C99" t="s">
        <v>218</v>
      </c>
      <c r="D99" s="3">
        <v>46129</v>
      </c>
      <c r="E99" t="s">
        <v>221</v>
      </c>
      <c r="F99">
        <v>12701</v>
      </c>
      <c r="G99" t="s">
        <v>224</v>
      </c>
      <c r="H99">
        <v>915</v>
      </c>
      <c r="I99" t="s">
        <v>227</v>
      </c>
      <c r="J99" t="s">
        <v>232</v>
      </c>
    </row>
    <row r="100" spans="1:10" x14ac:dyDescent="0.2">
      <c r="A100" t="s">
        <v>108</v>
      </c>
      <c r="B100" t="s">
        <v>212</v>
      </c>
      <c r="C100" t="s">
        <v>214</v>
      </c>
      <c r="D100" s="3">
        <v>46185</v>
      </c>
      <c r="E100" t="s">
        <v>222</v>
      </c>
      <c r="F100">
        <v>2309</v>
      </c>
      <c r="G100" t="s">
        <v>224</v>
      </c>
      <c r="H100">
        <v>805</v>
      </c>
      <c r="I100" t="s">
        <v>227</v>
      </c>
      <c r="J100" t="s">
        <v>230</v>
      </c>
    </row>
    <row r="101" spans="1:10" x14ac:dyDescent="0.2">
      <c r="A101" t="s">
        <v>109</v>
      </c>
      <c r="B101" t="s">
        <v>233</v>
      </c>
      <c r="C101" t="s">
        <v>219</v>
      </c>
      <c r="D101" s="3">
        <v>46117</v>
      </c>
      <c r="E101" t="s">
        <v>221</v>
      </c>
      <c r="F101">
        <v>30132</v>
      </c>
      <c r="G101" t="s">
        <v>235</v>
      </c>
      <c r="H101">
        <v>377</v>
      </c>
      <c r="I101" t="s">
        <v>227</v>
      </c>
      <c r="J101" t="s">
        <v>231</v>
      </c>
    </row>
    <row r="102" spans="1:10" x14ac:dyDescent="0.2">
      <c r="A102" t="s">
        <v>110</v>
      </c>
      <c r="B102" t="s">
        <v>211</v>
      </c>
      <c r="C102" t="s">
        <v>213</v>
      </c>
      <c r="D102" s="3">
        <v>46097</v>
      </c>
      <c r="E102" t="s">
        <v>220</v>
      </c>
      <c r="F102">
        <v>26809</v>
      </c>
      <c r="G102" t="s">
        <v>224</v>
      </c>
      <c r="H102">
        <v>766</v>
      </c>
      <c r="I102" t="s">
        <v>226</v>
      </c>
      <c r="J102" t="s">
        <v>229</v>
      </c>
    </row>
    <row r="103" spans="1:10" x14ac:dyDescent="0.2">
      <c r="A103" t="s">
        <v>111</v>
      </c>
      <c r="B103" t="s">
        <v>212</v>
      </c>
      <c r="C103" t="s">
        <v>219</v>
      </c>
      <c r="D103" s="3">
        <v>46175</v>
      </c>
      <c r="E103" t="s">
        <v>220</v>
      </c>
      <c r="F103">
        <v>34468</v>
      </c>
      <c r="G103" t="s">
        <v>225</v>
      </c>
      <c r="H103">
        <v>165</v>
      </c>
      <c r="I103" t="s">
        <v>226</v>
      </c>
      <c r="J103" t="s">
        <v>230</v>
      </c>
    </row>
    <row r="104" spans="1:10" x14ac:dyDescent="0.2">
      <c r="A104" t="s">
        <v>112</v>
      </c>
      <c r="B104" t="s">
        <v>234</v>
      </c>
      <c r="C104" t="s">
        <v>214</v>
      </c>
      <c r="D104" s="3">
        <v>46163</v>
      </c>
      <c r="E104" t="s">
        <v>221</v>
      </c>
      <c r="F104">
        <v>32772</v>
      </c>
      <c r="G104" t="s">
        <v>235</v>
      </c>
      <c r="H104">
        <v>79</v>
      </c>
      <c r="I104" t="s">
        <v>227</v>
      </c>
      <c r="J104" t="s">
        <v>232</v>
      </c>
    </row>
    <row r="105" spans="1:10" x14ac:dyDescent="0.2">
      <c r="A105" t="s">
        <v>113</v>
      </c>
      <c r="B105" t="s">
        <v>212</v>
      </c>
      <c r="C105" t="s">
        <v>218</v>
      </c>
      <c r="D105" s="3">
        <v>46102</v>
      </c>
      <c r="E105" t="s">
        <v>221</v>
      </c>
      <c r="F105">
        <v>12273</v>
      </c>
      <c r="G105" t="s">
        <v>235</v>
      </c>
      <c r="H105">
        <v>621</v>
      </c>
      <c r="I105" t="s">
        <v>227</v>
      </c>
      <c r="J105" t="s">
        <v>229</v>
      </c>
    </row>
    <row r="106" spans="1:10" x14ac:dyDescent="0.2">
      <c r="A106" t="s">
        <v>114</v>
      </c>
      <c r="B106" t="s">
        <v>234</v>
      </c>
      <c r="C106" t="s">
        <v>218</v>
      </c>
      <c r="D106" s="3">
        <v>46206</v>
      </c>
      <c r="E106" t="s">
        <v>221</v>
      </c>
      <c r="F106">
        <v>42837</v>
      </c>
      <c r="G106" t="s">
        <v>225</v>
      </c>
      <c r="H106">
        <v>661</v>
      </c>
      <c r="I106" t="s">
        <v>227</v>
      </c>
      <c r="J106" t="s">
        <v>232</v>
      </c>
    </row>
    <row r="107" spans="1:10" x14ac:dyDescent="0.2">
      <c r="A107" t="s">
        <v>115</v>
      </c>
      <c r="B107" t="s">
        <v>212</v>
      </c>
      <c r="C107" t="s">
        <v>216</v>
      </c>
      <c r="D107" s="3">
        <v>46103</v>
      </c>
      <c r="E107" t="s">
        <v>222</v>
      </c>
      <c r="F107">
        <v>40935</v>
      </c>
      <c r="G107" t="s">
        <v>228</v>
      </c>
      <c r="H107">
        <v>41</v>
      </c>
      <c r="I107" t="s">
        <v>227</v>
      </c>
      <c r="J107" t="s">
        <v>231</v>
      </c>
    </row>
    <row r="108" spans="1:10" x14ac:dyDescent="0.2">
      <c r="A108" t="s">
        <v>116</v>
      </c>
      <c r="B108" t="s">
        <v>233</v>
      </c>
      <c r="C108" t="s">
        <v>219</v>
      </c>
      <c r="D108" s="3">
        <v>46203</v>
      </c>
      <c r="E108" t="s">
        <v>222</v>
      </c>
      <c r="F108">
        <v>6293</v>
      </c>
      <c r="G108" t="s">
        <v>224</v>
      </c>
      <c r="H108">
        <v>937</v>
      </c>
      <c r="I108" t="s">
        <v>227</v>
      </c>
      <c r="J108" t="s">
        <v>229</v>
      </c>
    </row>
    <row r="109" spans="1:10" x14ac:dyDescent="0.2">
      <c r="A109" t="s">
        <v>117</v>
      </c>
      <c r="B109" t="s">
        <v>212</v>
      </c>
      <c r="C109" t="s">
        <v>213</v>
      </c>
      <c r="D109" s="3">
        <v>46083</v>
      </c>
      <c r="E109" t="s">
        <v>220</v>
      </c>
      <c r="F109">
        <v>11559</v>
      </c>
      <c r="G109" t="s">
        <v>228</v>
      </c>
      <c r="H109">
        <v>253</v>
      </c>
      <c r="I109" t="s">
        <v>226</v>
      </c>
      <c r="J109" t="s">
        <v>232</v>
      </c>
    </row>
    <row r="110" spans="1:10" x14ac:dyDescent="0.2">
      <c r="A110" t="s">
        <v>118</v>
      </c>
      <c r="B110" t="s">
        <v>234</v>
      </c>
      <c r="C110" t="s">
        <v>213</v>
      </c>
      <c r="D110" s="3">
        <v>46233</v>
      </c>
      <c r="E110" t="s">
        <v>221</v>
      </c>
      <c r="F110">
        <v>37017</v>
      </c>
      <c r="G110" t="s">
        <v>224</v>
      </c>
      <c r="H110">
        <v>413</v>
      </c>
      <c r="I110" t="s">
        <v>227</v>
      </c>
      <c r="J110" t="s">
        <v>232</v>
      </c>
    </row>
    <row r="111" spans="1:10" x14ac:dyDescent="0.2">
      <c r="A111" t="s">
        <v>119</v>
      </c>
      <c r="B111" t="s">
        <v>211</v>
      </c>
      <c r="C111" t="s">
        <v>219</v>
      </c>
      <c r="D111" s="3">
        <v>46162</v>
      </c>
      <c r="E111" t="s">
        <v>222</v>
      </c>
      <c r="F111">
        <v>19697</v>
      </c>
      <c r="G111" t="s">
        <v>235</v>
      </c>
      <c r="H111">
        <v>285</v>
      </c>
      <c r="I111" t="s">
        <v>227</v>
      </c>
      <c r="J111" t="s">
        <v>230</v>
      </c>
    </row>
    <row r="112" spans="1:10" x14ac:dyDescent="0.2">
      <c r="A112" t="s">
        <v>120</v>
      </c>
      <c r="B112" t="s">
        <v>210</v>
      </c>
      <c r="C112" t="s">
        <v>217</v>
      </c>
      <c r="D112" s="3">
        <v>46202</v>
      </c>
      <c r="E112" t="s">
        <v>220</v>
      </c>
      <c r="F112">
        <v>32713</v>
      </c>
      <c r="G112" t="s">
        <v>225</v>
      </c>
      <c r="H112">
        <v>230</v>
      </c>
      <c r="I112" t="s">
        <v>226</v>
      </c>
      <c r="J112" t="s">
        <v>230</v>
      </c>
    </row>
    <row r="113" spans="1:10" x14ac:dyDescent="0.2">
      <c r="A113" t="s">
        <v>121</v>
      </c>
      <c r="B113" t="s">
        <v>210</v>
      </c>
      <c r="C113" t="s">
        <v>215</v>
      </c>
      <c r="D113" s="3">
        <v>46206</v>
      </c>
      <c r="E113" t="s">
        <v>221</v>
      </c>
      <c r="F113">
        <v>36726</v>
      </c>
      <c r="G113" t="s">
        <v>224</v>
      </c>
      <c r="H113">
        <v>963</v>
      </c>
      <c r="I113" t="s">
        <v>227</v>
      </c>
      <c r="J113" t="s">
        <v>230</v>
      </c>
    </row>
    <row r="114" spans="1:10" x14ac:dyDescent="0.2">
      <c r="A114" t="s">
        <v>122</v>
      </c>
      <c r="B114" t="s">
        <v>234</v>
      </c>
      <c r="C114" t="s">
        <v>215</v>
      </c>
      <c r="D114" s="3">
        <v>46105</v>
      </c>
      <c r="E114" t="s">
        <v>220</v>
      </c>
      <c r="F114">
        <v>30859</v>
      </c>
      <c r="G114" t="s">
        <v>223</v>
      </c>
      <c r="H114">
        <v>286</v>
      </c>
      <c r="I114" t="s">
        <v>226</v>
      </c>
      <c r="J114" t="s">
        <v>232</v>
      </c>
    </row>
    <row r="115" spans="1:10" x14ac:dyDescent="0.2">
      <c r="A115" t="s">
        <v>123</v>
      </c>
      <c r="B115" t="s">
        <v>233</v>
      </c>
      <c r="C115" t="s">
        <v>217</v>
      </c>
      <c r="D115" s="3">
        <v>46157</v>
      </c>
      <c r="E115" t="s">
        <v>221</v>
      </c>
      <c r="F115">
        <v>32771</v>
      </c>
      <c r="G115" t="s">
        <v>223</v>
      </c>
      <c r="H115">
        <v>742</v>
      </c>
      <c r="I115" t="s">
        <v>227</v>
      </c>
      <c r="J115" t="s">
        <v>230</v>
      </c>
    </row>
    <row r="116" spans="1:10" x14ac:dyDescent="0.2">
      <c r="A116" t="s">
        <v>124</v>
      </c>
      <c r="B116" t="s">
        <v>234</v>
      </c>
      <c r="C116" t="s">
        <v>215</v>
      </c>
      <c r="D116" s="3">
        <v>46177</v>
      </c>
      <c r="E116" t="s">
        <v>221</v>
      </c>
      <c r="F116">
        <v>47107</v>
      </c>
      <c r="G116" t="s">
        <v>223</v>
      </c>
      <c r="H116">
        <v>348</v>
      </c>
      <c r="I116" t="s">
        <v>227</v>
      </c>
      <c r="J116" t="s">
        <v>229</v>
      </c>
    </row>
    <row r="117" spans="1:10" x14ac:dyDescent="0.2">
      <c r="A117" t="s">
        <v>125</v>
      </c>
      <c r="B117" t="s">
        <v>233</v>
      </c>
      <c r="C117" t="s">
        <v>214</v>
      </c>
      <c r="D117" s="3">
        <v>46248</v>
      </c>
      <c r="E117" t="s">
        <v>220</v>
      </c>
      <c r="F117">
        <v>47786</v>
      </c>
      <c r="G117" t="s">
        <v>235</v>
      </c>
      <c r="H117">
        <v>361</v>
      </c>
      <c r="I117" t="s">
        <v>226</v>
      </c>
      <c r="J117" t="s">
        <v>229</v>
      </c>
    </row>
    <row r="118" spans="1:10" x14ac:dyDescent="0.2">
      <c r="A118" t="s">
        <v>126</v>
      </c>
      <c r="B118" t="s">
        <v>211</v>
      </c>
      <c r="C118" t="s">
        <v>218</v>
      </c>
      <c r="D118" s="3">
        <v>46180</v>
      </c>
      <c r="E118" t="s">
        <v>221</v>
      </c>
      <c r="F118">
        <v>39459</v>
      </c>
      <c r="G118" t="s">
        <v>235</v>
      </c>
      <c r="H118">
        <v>198</v>
      </c>
      <c r="I118" t="s">
        <v>227</v>
      </c>
      <c r="J118" t="s">
        <v>232</v>
      </c>
    </row>
    <row r="119" spans="1:10" x14ac:dyDescent="0.2">
      <c r="A119" t="s">
        <v>127</v>
      </c>
      <c r="B119" t="s">
        <v>210</v>
      </c>
      <c r="C119" t="s">
        <v>219</v>
      </c>
      <c r="D119" s="3">
        <v>46188</v>
      </c>
      <c r="E119" t="s">
        <v>221</v>
      </c>
      <c r="F119">
        <v>34006</v>
      </c>
      <c r="G119" t="s">
        <v>228</v>
      </c>
      <c r="H119">
        <v>760</v>
      </c>
      <c r="I119" t="s">
        <v>227</v>
      </c>
      <c r="J119" t="s">
        <v>231</v>
      </c>
    </row>
    <row r="120" spans="1:10" x14ac:dyDescent="0.2">
      <c r="A120" t="s">
        <v>128</v>
      </c>
      <c r="B120" t="s">
        <v>211</v>
      </c>
      <c r="C120" t="s">
        <v>217</v>
      </c>
      <c r="D120" s="3">
        <v>46108</v>
      </c>
      <c r="E120" t="s">
        <v>222</v>
      </c>
      <c r="F120">
        <v>21047</v>
      </c>
      <c r="G120" t="s">
        <v>224</v>
      </c>
      <c r="H120">
        <v>196</v>
      </c>
      <c r="I120" t="s">
        <v>227</v>
      </c>
      <c r="J120" t="s">
        <v>230</v>
      </c>
    </row>
    <row r="121" spans="1:10" x14ac:dyDescent="0.2">
      <c r="A121" t="s">
        <v>129</v>
      </c>
      <c r="B121" t="s">
        <v>233</v>
      </c>
      <c r="C121" t="s">
        <v>217</v>
      </c>
      <c r="D121" s="3">
        <v>46116</v>
      </c>
      <c r="E121" t="s">
        <v>222</v>
      </c>
      <c r="F121">
        <v>38233</v>
      </c>
      <c r="G121" t="s">
        <v>223</v>
      </c>
      <c r="H121">
        <v>763</v>
      </c>
      <c r="I121" t="s">
        <v>227</v>
      </c>
      <c r="J121" t="s">
        <v>231</v>
      </c>
    </row>
    <row r="122" spans="1:10" x14ac:dyDescent="0.2">
      <c r="A122" t="s">
        <v>130</v>
      </c>
      <c r="B122" t="s">
        <v>234</v>
      </c>
      <c r="C122" t="s">
        <v>214</v>
      </c>
      <c r="D122" s="3">
        <v>46207</v>
      </c>
      <c r="E122" t="s">
        <v>222</v>
      </c>
      <c r="F122">
        <v>44954</v>
      </c>
      <c r="G122" t="s">
        <v>223</v>
      </c>
      <c r="H122">
        <v>344</v>
      </c>
      <c r="I122" t="s">
        <v>227</v>
      </c>
      <c r="J122" t="s">
        <v>232</v>
      </c>
    </row>
    <row r="123" spans="1:10" x14ac:dyDescent="0.2">
      <c r="A123" t="s">
        <v>131</v>
      </c>
      <c r="B123" t="s">
        <v>212</v>
      </c>
      <c r="C123" t="s">
        <v>213</v>
      </c>
      <c r="D123" s="3">
        <v>46184</v>
      </c>
      <c r="E123" t="s">
        <v>220</v>
      </c>
      <c r="F123">
        <v>11605</v>
      </c>
      <c r="G123" t="s">
        <v>223</v>
      </c>
      <c r="H123">
        <v>71</v>
      </c>
      <c r="I123" t="s">
        <v>226</v>
      </c>
      <c r="J123" t="s">
        <v>231</v>
      </c>
    </row>
    <row r="124" spans="1:10" x14ac:dyDescent="0.2">
      <c r="A124" t="s">
        <v>132</v>
      </c>
      <c r="B124" t="s">
        <v>233</v>
      </c>
      <c r="C124" t="s">
        <v>214</v>
      </c>
      <c r="D124" s="3">
        <v>46249</v>
      </c>
      <c r="E124" t="s">
        <v>222</v>
      </c>
      <c r="F124">
        <v>40611</v>
      </c>
      <c r="G124" t="s">
        <v>224</v>
      </c>
      <c r="H124">
        <v>135</v>
      </c>
      <c r="I124" t="s">
        <v>227</v>
      </c>
      <c r="J124" t="s">
        <v>231</v>
      </c>
    </row>
    <row r="125" spans="1:10" x14ac:dyDescent="0.2">
      <c r="A125" t="s">
        <v>133</v>
      </c>
      <c r="B125" t="s">
        <v>210</v>
      </c>
      <c r="C125" t="s">
        <v>213</v>
      </c>
      <c r="D125" s="3">
        <v>46101</v>
      </c>
      <c r="E125" t="s">
        <v>220</v>
      </c>
      <c r="F125">
        <v>2429</v>
      </c>
      <c r="G125" t="s">
        <v>224</v>
      </c>
      <c r="H125">
        <v>490</v>
      </c>
      <c r="I125" t="s">
        <v>226</v>
      </c>
      <c r="J125" t="s">
        <v>230</v>
      </c>
    </row>
    <row r="126" spans="1:10" x14ac:dyDescent="0.2">
      <c r="A126" t="s">
        <v>134</v>
      </c>
      <c r="B126" t="s">
        <v>234</v>
      </c>
      <c r="C126" t="s">
        <v>218</v>
      </c>
      <c r="D126" s="3">
        <v>46196</v>
      </c>
      <c r="E126" t="s">
        <v>220</v>
      </c>
      <c r="F126">
        <v>31659</v>
      </c>
      <c r="G126" t="s">
        <v>223</v>
      </c>
      <c r="H126">
        <v>315</v>
      </c>
      <c r="I126" t="s">
        <v>226</v>
      </c>
      <c r="J126" t="s">
        <v>231</v>
      </c>
    </row>
    <row r="127" spans="1:10" x14ac:dyDescent="0.2">
      <c r="A127" t="s">
        <v>135</v>
      </c>
      <c r="B127" t="s">
        <v>212</v>
      </c>
      <c r="C127" t="s">
        <v>215</v>
      </c>
      <c r="D127" s="3">
        <v>46195</v>
      </c>
      <c r="E127" t="s">
        <v>220</v>
      </c>
      <c r="F127">
        <v>33408</v>
      </c>
      <c r="G127" t="s">
        <v>224</v>
      </c>
      <c r="H127">
        <v>848</v>
      </c>
      <c r="I127" t="s">
        <v>226</v>
      </c>
      <c r="J127" t="s">
        <v>229</v>
      </c>
    </row>
    <row r="128" spans="1:10" x14ac:dyDescent="0.2">
      <c r="A128" t="s">
        <v>136</v>
      </c>
      <c r="B128" t="s">
        <v>211</v>
      </c>
      <c r="C128" t="s">
        <v>214</v>
      </c>
      <c r="D128" s="3">
        <v>46194</v>
      </c>
      <c r="E128" t="s">
        <v>220</v>
      </c>
      <c r="F128">
        <v>49190</v>
      </c>
      <c r="G128" t="s">
        <v>235</v>
      </c>
      <c r="H128">
        <v>178</v>
      </c>
      <c r="I128" t="s">
        <v>226</v>
      </c>
      <c r="J128" t="s">
        <v>229</v>
      </c>
    </row>
    <row r="129" spans="1:10" x14ac:dyDescent="0.2">
      <c r="A129" t="s">
        <v>137</v>
      </c>
      <c r="B129" t="s">
        <v>210</v>
      </c>
      <c r="C129" t="s">
        <v>216</v>
      </c>
      <c r="D129" s="3">
        <v>46256</v>
      </c>
      <c r="E129" t="s">
        <v>222</v>
      </c>
      <c r="F129">
        <v>33102</v>
      </c>
      <c r="G129" t="s">
        <v>228</v>
      </c>
      <c r="H129">
        <v>354</v>
      </c>
      <c r="I129" t="s">
        <v>227</v>
      </c>
      <c r="J129" t="s">
        <v>229</v>
      </c>
    </row>
    <row r="130" spans="1:10" x14ac:dyDescent="0.2">
      <c r="A130" t="s">
        <v>138</v>
      </c>
      <c r="B130" t="s">
        <v>233</v>
      </c>
      <c r="C130" t="s">
        <v>213</v>
      </c>
      <c r="D130" s="3">
        <v>46150</v>
      </c>
      <c r="E130" t="s">
        <v>220</v>
      </c>
      <c r="F130">
        <v>36865</v>
      </c>
      <c r="G130" t="s">
        <v>225</v>
      </c>
      <c r="H130">
        <v>65</v>
      </c>
      <c r="I130" t="s">
        <v>226</v>
      </c>
      <c r="J130" t="s">
        <v>230</v>
      </c>
    </row>
    <row r="131" spans="1:10" x14ac:dyDescent="0.2">
      <c r="A131" t="s">
        <v>139</v>
      </c>
      <c r="B131" t="s">
        <v>210</v>
      </c>
      <c r="C131" t="s">
        <v>214</v>
      </c>
      <c r="D131" s="3">
        <v>46096</v>
      </c>
      <c r="E131" t="s">
        <v>221</v>
      </c>
      <c r="F131">
        <v>26496</v>
      </c>
      <c r="G131" t="s">
        <v>225</v>
      </c>
      <c r="H131">
        <v>564</v>
      </c>
      <c r="I131" t="s">
        <v>227</v>
      </c>
      <c r="J131" t="s">
        <v>231</v>
      </c>
    </row>
    <row r="132" spans="1:10" x14ac:dyDescent="0.2">
      <c r="A132" t="s">
        <v>140</v>
      </c>
      <c r="B132" t="s">
        <v>211</v>
      </c>
      <c r="C132" t="s">
        <v>219</v>
      </c>
      <c r="D132" s="3">
        <v>46171</v>
      </c>
      <c r="E132" t="s">
        <v>220</v>
      </c>
      <c r="F132">
        <v>40030</v>
      </c>
      <c r="G132" t="s">
        <v>235</v>
      </c>
      <c r="H132">
        <v>757</v>
      </c>
      <c r="I132" t="s">
        <v>226</v>
      </c>
      <c r="J132" t="s">
        <v>231</v>
      </c>
    </row>
    <row r="133" spans="1:10" x14ac:dyDescent="0.2">
      <c r="A133" t="s">
        <v>141</v>
      </c>
      <c r="B133" t="s">
        <v>212</v>
      </c>
      <c r="C133" t="s">
        <v>218</v>
      </c>
      <c r="D133" s="3">
        <v>46128</v>
      </c>
      <c r="E133" t="s">
        <v>222</v>
      </c>
      <c r="F133">
        <v>12977</v>
      </c>
      <c r="G133" t="s">
        <v>225</v>
      </c>
      <c r="H133">
        <v>66</v>
      </c>
      <c r="I133" t="s">
        <v>227</v>
      </c>
      <c r="J133" t="s">
        <v>231</v>
      </c>
    </row>
    <row r="134" spans="1:10" x14ac:dyDescent="0.2">
      <c r="A134" t="s">
        <v>142</v>
      </c>
      <c r="B134" t="s">
        <v>212</v>
      </c>
      <c r="C134" t="s">
        <v>216</v>
      </c>
      <c r="D134" s="3">
        <v>46168</v>
      </c>
      <c r="E134" t="s">
        <v>221</v>
      </c>
      <c r="F134">
        <v>49303</v>
      </c>
      <c r="G134" t="s">
        <v>225</v>
      </c>
      <c r="H134">
        <v>96</v>
      </c>
      <c r="I134" t="s">
        <v>227</v>
      </c>
      <c r="J134" t="s">
        <v>231</v>
      </c>
    </row>
    <row r="135" spans="1:10" x14ac:dyDescent="0.2">
      <c r="A135" t="s">
        <v>143</v>
      </c>
      <c r="B135" t="s">
        <v>233</v>
      </c>
      <c r="C135" t="s">
        <v>217</v>
      </c>
      <c r="D135" s="3">
        <v>46168</v>
      </c>
      <c r="E135" t="s">
        <v>222</v>
      </c>
      <c r="F135">
        <v>10817</v>
      </c>
      <c r="G135" t="s">
        <v>225</v>
      </c>
      <c r="H135">
        <v>133</v>
      </c>
      <c r="I135" t="s">
        <v>227</v>
      </c>
      <c r="J135" t="s">
        <v>232</v>
      </c>
    </row>
    <row r="136" spans="1:10" x14ac:dyDescent="0.2">
      <c r="A136" t="s">
        <v>144</v>
      </c>
      <c r="B136" t="s">
        <v>233</v>
      </c>
      <c r="C136" t="s">
        <v>213</v>
      </c>
      <c r="D136" s="3">
        <v>46106</v>
      </c>
      <c r="E136" t="s">
        <v>220</v>
      </c>
      <c r="F136">
        <v>47584</v>
      </c>
      <c r="G136" t="s">
        <v>228</v>
      </c>
      <c r="H136">
        <v>880</v>
      </c>
      <c r="I136" t="s">
        <v>226</v>
      </c>
      <c r="J136" t="s">
        <v>230</v>
      </c>
    </row>
    <row r="137" spans="1:10" x14ac:dyDescent="0.2">
      <c r="A137" t="s">
        <v>145</v>
      </c>
      <c r="B137" t="s">
        <v>211</v>
      </c>
      <c r="C137" t="s">
        <v>214</v>
      </c>
      <c r="D137" s="3">
        <v>46105</v>
      </c>
      <c r="E137" t="s">
        <v>222</v>
      </c>
      <c r="F137">
        <v>10621</v>
      </c>
      <c r="G137" t="s">
        <v>235</v>
      </c>
      <c r="H137">
        <v>19</v>
      </c>
      <c r="I137" t="s">
        <v>227</v>
      </c>
      <c r="J137" t="s">
        <v>232</v>
      </c>
    </row>
    <row r="138" spans="1:10" x14ac:dyDescent="0.2">
      <c r="A138" t="s">
        <v>146</v>
      </c>
      <c r="B138" t="s">
        <v>234</v>
      </c>
      <c r="C138" t="s">
        <v>217</v>
      </c>
      <c r="D138" s="3">
        <v>46179</v>
      </c>
      <c r="E138" t="s">
        <v>222</v>
      </c>
      <c r="F138">
        <v>15115</v>
      </c>
      <c r="G138" t="s">
        <v>235</v>
      </c>
      <c r="H138">
        <v>948</v>
      </c>
      <c r="I138" t="s">
        <v>227</v>
      </c>
      <c r="J138" t="s">
        <v>230</v>
      </c>
    </row>
    <row r="139" spans="1:10" x14ac:dyDescent="0.2">
      <c r="A139" t="s">
        <v>147</v>
      </c>
      <c r="B139" t="s">
        <v>211</v>
      </c>
      <c r="C139" t="s">
        <v>213</v>
      </c>
      <c r="D139" s="3">
        <v>46105</v>
      </c>
      <c r="E139" t="s">
        <v>221</v>
      </c>
      <c r="F139">
        <v>47323</v>
      </c>
      <c r="G139" t="s">
        <v>225</v>
      </c>
      <c r="H139">
        <v>843</v>
      </c>
      <c r="I139" t="s">
        <v>227</v>
      </c>
      <c r="J139" t="s">
        <v>232</v>
      </c>
    </row>
    <row r="140" spans="1:10" x14ac:dyDescent="0.2">
      <c r="A140" t="s">
        <v>148</v>
      </c>
      <c r="B140" t="s">
        <v>233</v>
      </c>
      <c r="C140" t="s">
        <v>214</v>
      </c>
      <c r="D140" s="3">
        <v>46176</v>
      </c>
      <c r="E140" t="s">
        <v>222</v>
      </c>
      <c r="F140">
        <v>37338</v>
      </c>
      <c r="G140" t="s">
        <v>228</v>
      </c>
      <c r="H140">
        <v>453</v>
      </c>
      <c r="I140" t="s">
        <v>227</v>
      </c>
      <c r="J140" t="s">
        <v>229</v>
      </c>
    </row>
    <row r="141" spans="1:10" x14ac:dyDescent="0.2">
      <c r="A141" t="s">
        <v>149</v>
      </c>
      <c r="B141" t="s">
        <v>211</v>
      </c>
      <c r="C141" t="s">
        <v>214</v>
      </c>
      <c r="D141" s="3">
        <v>46204</v>
      </c>
      <c r="E141" t="s">
        <v>222</v>
      </c>
      <c r="F141">
        <v>6323</v>
      </c>
      <c r="G141" t="s">
        <v>228</v>
      </c>
      <c r="H141">
        <v>427</v>
      </c>
      <c r="I141" t="s">
        <v>227</v>
      </c>
      <c r="J141" t="s">
        <v>230</v>
      </c>
    </row>
    <row r="142" spans="1:10" x14ac:dyDescent="0.2">
      <c r="A142" t="s">
        <v>150</v>
      </c>
      <c r="B142" t="s">
        <v>210</v>
      </c>
      <c r="C142" t="s">
        <v>217</v>
      </c>
      <c r="D142" s="3">
        <v>46100</v>
      </c>
      <c r="E142" t="s">
        <v>221</v>
      </c>
      <c r="F142">
        <v>10418</v>
      </c>
      <c r="G142" t="s">
        <v>228</v>
      </c>
      <c r="H142">
        <v>130</v>
      </c>
      <c r="I142" t="s">
        <v>227</v>
      </c>
      <c r="J142" t="s">
        <v>232</v>
      </c>
    </row>
    <row r="143" spans="1:10" x14ac:dyDescent="0.2">
      <c r="A143" t="s">
        <v>151</v>
      </c>
      <c r="B143" t="s">
        <v>233</v>
      </c>
      <c r="C143" t="s">
        <v>219</v>
      </c>
      <c r="D143" s="3">
        <v>46258</v>
      </c>
      <c r="E143" t="s">
        <v>221</v>
      </c>
      <c r="F143">
        <v>6628</v>
      </c>
      <c r="G143" t="s">
        <v>224</v>
      </c>
      <c r="H143">
        <v>389</v>
      </c>
      <c r="I143" t="s">
        <v>227</v>
      </c>
      <c r="J143" t="s">
        <v>232</v>
      </c>
    </row>
    <row r="144" spans="1:10" x14ac:dyDescent="0.2">
      <c r="A144" t="s">
        <v>152</v>
      </c>
      <c r="B144" t="s">
        <v>210</v>
      </c>
      <c r="C144" t="s">
        <v>214</v>
      </c>
      <c r="D144" s="3">
        <v>46128</v>
      </c>
      <c r="E144" t="s">
        <v>220</v>
      </c>
      <c r="F144">
        <v>7881</v>
      </c>
      <c r="G144" t="s">
        <v>225</v>
      </c>
      <c r="H144">
        <v>974</v>
      </c>
      <c r="I144" t="s">
        <v>226</v>
      </c>
      <c r="J144" t="s">
        <v>229</v>
      </c>
    </row>
    <row r="145" spans="1:10" x14ac:dyDescent="0.2">
      <c r="A145" t="s">
        <v>153</v>
      </c>
      <c r="B145" t="s">
        <v>233</v>
      </c>
      <c r="C145" t="s">
        <v>214</v>
      </c>
      <c r="D145" s="3">
        <v>46156</v>
      </c>
      <c r="E145" t="s">
        <v>222</v>
      </c>
      <c r="F145">
        <v>5610</v>
      </c>
      <c r="G145" t="s">
        <v>225</v>
      </c>
      <c r="H145">
        <v>894</v>
      </c>
      <c r="I145" t="s">
        <v>227</v>
      </c>
      <c r="J145" t="s">
        <v>229</v>
      </c>
    </row>
    <row r="146" spans="1:10" x14ac:dyDescent="0.2">
      <c r="A146" t="s">
        <v>154</v>
      </c>
      <c r="B146" t="s">
        <v>233</v>
      </c>
      <c r="C146" t="s">
        <v>214</v>
      </c>
      <c r="D146" s="3">
        <v>46166</v>
      </c>
      <c r="E146" t="s">
        <v>222</v>
      </c>
      <c r="F146">
        <v>31084</v>
      </c>
      <c r="G146" t="s">
        <v>224</v>
      </c>
      <c r="H146">
        <v>177</v>
      </c>
      <c r="I146" t="s">
        <v>227</v>
      </c>
      <c r="J146" t="s">
        <v>230</v>
      </c>
    </row>
    <row r="147" spans="1:10" x14ac:dyDescent="0.2">
      <c r="A147" t="s">
        <v>155</v>
      </c>
      <c r="B147" t="s">
        <v>212</v>
      </c>
      <c r="C147" t="s">
        <v>213</v>
      </c>
      <c r="D147" s="3">
        <v>46157</v>
      </c>
      <c r="E147" t="s">
        <v>220</v>
      </c>
      <c r="F147">
        <v>30361</v>
      </c>
      <c r="G147" t="s">
        <v>223</v>
      </c>
      <c r="H147">
        <v>989</v>
      </c>
      <c r="I147" t="s">
        <v>226</v>
      </c>
      <c r="J147" t="s">
        <v>230</v>
      </c>
    </row>
    <row r="148" spans="1:10" x14ac:dyDescent="0.2">
      <c r="A148" t="s">
        <v>156</v>
      </c>
      <c r="B148" t="s">
        <v>212</v>
      </c>
      <c r="C148" t="s">
        <v>219</v>
      </c>
      <c r="D148" s="3">
        <v>46252</v>
      </c>
      <c r="E148" t="s">
        <v>221</v>
      </c>
      <c r="F148">
        <v>48095</v>
      </c>
      <c r="G148" t="s">
        <v>224</v>
      </c>
      <c r="H148">
        <v>729</v>
      </c>
      <c r="I148" t="s">
        <v>227</v>
      </c>
      <c r="J148" t="s">
        <v>232</v>
      </c>
    </row>
    <row r="149" spans="1:10" x14ac:dyDescent="0.2">
      <c r="A149" t="s">
        <v>157</v>
      </c>
      <c r="B149" t="s">
        <v>212</v>
      </c>
      <c r="C149" t="s">
        <v>213</v>
      </c>
      <c r="D149" s="3">
        <v>46103</v>
      </c>
      <c r="E149" t="s">
        <v>220</v>
      </c>
      <c r="F149">
        <v>40650</v>
      </c>
      <c r="G149" t="s">
        <v>235</v>
      </c>
      <c r="H149">
        <v>143</v>
      </c>
      <c r="I149" t="s">
        <v>226</v>
      </c>
      <c r="J149" t="s">
        <v>229</v>
      </c>
    </row>
    <row r="150" spans="1:10" x14ac:dyDescent="0.2">
      <c r="A150" t="s">
        <v>158</v>
      </c>
      <c r="B150" t="s">
        <v>212</v>
      </c>
      <c r="C150" t="s">
        <v>214</v>
      </c>
      <c r="D150" s="3">
        <v>46129</v>
      </c>
      <c r="E150" t="s">
        <v>220</v>
      </c>
      <c r="F150">
        <v>3988</v>
      </c>
      <c r="G150" t="s">
        <v>223</v>
      </c>
      <c r="H150">
        <v>382</v>
      </c>
      <c r="I150" t="s">
        <v>226</v>
      </c>
      <c r="J150" t="s">
        <v>229</v>
      </c>
    </row>
    <row r="151" spans="1:10" x14ac:dyDescent="0.2">
      <c r="A151" t="s">
        <v>159</v>
      </c>
      <c r="B151" t="s">
        <v>211</v>
      </c>
      <c r="C151" t="s">
        <v>218</v>
      </c>
      <c r="D151" s="3">
        <v>46174</v>
      </c>
      <c r="E151" t="s">
        <v>220</v>
      </c>
      <c r="F151">
        <v>38352</v>
      </c>
      <c r="G151" t="s">
        <v>223</v>
      </c>
      <c r="H151">
        <v>858</v>
      </c>
      <c r="I151" t="s">
        <v>226</v>
      </c>
      <c r="J151" t="s">
        <v>232</v>
      </c>
    </row>
    <row r="152" spans="1:10" x14ac:dyDescent="0.2">
      <c r="A152" t="s">
        <v>160</v>
      </c>
      <c r="B152" t="s">
        <v>211</v>
      </c>
      <c r="C152" t="s">
        <v>218</v>
      </c>
      <c r="D152" s="3">
        <v>46177</v>
      </c>
      <c r="E152" t="s">
        <v>222</v>
      </c>
      <c r="F152">
        <v>30163</v>
      </c>
      <c r="G152" t="s">
        <v>223</v>
      </c>
      <c r="H152">
        <v>408</v>
      </c>
      <c r="I152" t="s">
        <v>227</v>
      </c>
      <c r="J152" t="s">
        <v>231</v>
      </c>
    </row>
    <row r="153" spans="1:10" x14ac:dyDescent="0.2">
      <c r="A153" t="s">
        <v>161</v>
      </c>
      <c r="B153" t="s">
        <v>234</v>
      </c>
      <c r="C153" t="s">
        <v>215</v>
      </c>
      <c r="D153" s="3">
        <v>46153</v>
      </c>
      <c r="E153" t="s">
        <v>222</v>
      </c>
      <c r="F153">
        <v>32883</v>
      </c>
      <c r="G153" t="s">
        <v>228</v>
      </c>
      <c r="H153">
        <v>222</v>
      </c>
      <c r="I153" t="s">
        <v>227</v>
      </c>
      <c r="J153" t="s">
        <v>232</v>
      </c>
    </row>
    <row r="154" spans="1:10" x14ac:dyDescent="0.2">
      <c r="A154" t="s">
        <v>162</v>
      </c>
      <c r="B154" t="s">
        <v>210</v>
      </c>
      <c r="C154" t="s">
        <v>214</v>
      </c>
      <c r="D154" s="3">
        <v>46202</v>
      </c>
      <c r="E154" t="s">
        <v>221</v>
      </c>
      <c r="F154">
        <v>5051</v>
      </c>
      <c r="G154" t="s">
        <v>225</v>
      </c>
      <c r="H154">
        <v>373</v>
      </c>
      <c r="I154" t="s">
        <v>227</v>
      </c>
      <c r="J154" t="s">
        <v>232</v>
      </c>
    </row>
    <row r="155" spans="1:10" x14ac:dyDescent="0.2">
      <c r="A155" t="s">
        <v>163</v>
      </c>
      <c r="B155" t="s">
        <v>233</v>
      </c>
      <c r="C155" t="s">
        <v>219</v>
      </c>
      <c r="D155" s="3">
        <v>46240</v>
      </c>
      <c r="E155" t="s">
        <v>220</v>
      </c>
      <c r="F155">
        <v>9065</v>
      </c>
      <c r="G155" t="s">
        <v>228</v>
      </c>
      <c r="H155">
        <v>833</v>
      </c>
      <c r="I155" t="s">
        <v>226</v>
      </c>
      <c r="J155" t="s">
        <v>230</v>
      </c>
    </row>
    <row r="156" spans="1:10" x14ac:dyDescent="0.2">
      <c r="A156" t="s">
        <v>164</v>
      </c>
      <c r="B156" t="s">
        <v>233</v>
      </c>
      <c r="C156" t="s">
        <v>219</v>
      </c>
      <c r="D156" s="3">
        <v>46088</v>
      </c>
      <c r="E156" t="s">
        <v>220</v>
      </c>
      <c r="F156">
        <v>15043</v>
      </c>
      <c r="G156" t="s">
        <v>235</v>
      </c>
      <c r="H156">
        <v>292</v>
      </c>
      <c r="I156" t="s">
        <v>226</v>
      </c>
      <c r="J156" t="s">
        <v>231</v>
      </c>
    </row>
    <row r="157" spans="1:10" x14ac:dyDescent="0.2">
      <c r="A157" t="s">
        <v>165</v>
      </c>
      <c r="B157" t="s">
        <v>210</v>
      </c>
      <c r="C157" t="s">
        <v>217</v>
      </c>
      <c r="D157" s="3">
        <v>46207</v>
      </c>
      <c r="E157" t="s">
        <v>220</v>
      </c>
      <c r="F157">
        <v>30158</v>
      </c>
      <c r="G157" t="s">
        <v>225</v>
      </c>
      <c r="H157">
        <v>44</v>
      </c>
      <c r="I157" t="s">
        <v>226</v>
      </c>
      <c r="J157" t="s">
        <v>229</v>
      </c>
    </row>
    <row r="158" spans="1:10" x14ac:dyDescent="0.2">
      <c r="A158" t="s">
        <v>166</v>
      </c>
      <c r="B158" t="s">
        <v>210</v>
      </c>
      <c r="C158" t="s">
        <v>216</v>
      </c>
      <c r="D158" s="3">
        <v>46222</v>
      </c>
      <c r="E158" t="s">
        <v>220</v>
      </c>
      <c r="F158">
        <v>14083</v>
      </c>
      <c r="G158" t="s">
        <v>224</v>
      </c>
      <c r="H158">
        <v>923</v>
      </c>
      <c r="I158" t="s">
        <v>226</v>
      </c>
      <c r="J158" t="s">
        <v>231</v>
      </c>
    </row>
    <row r="159" spans="1:10" x14ac:dyDescent="0.2">
      <c r="A159" t="s">
        <v>167</v>
      </c>
      <c r="B159" t="s">
        <v>210</v>
      </c>
      <c r="C159" t="s">
        <v>218</v>
      </c>
      <c r="D159" s="3">
        <v>46165</v>
      </c>
      <c r="E159" t="s">
        <v>221</v>
      </c>
      <c r="F159">
        <v>46008</v>
      </c>
      <c r="G159" t="s">
        <v>223</v>
      </c>
      <c r="H159">
        <v>224</v>
      </c>
      <c r="I159" t="s">
        <v>227</v>
      </c>
      <c r="J159" t="s">
        <v>230</v>
      </c>
    </row>
    <row r="160" spans="1:10" x14ac:dyDescent="0.2">
      <c r="A160" t="s">
        <v>168</v>
      </c>
      <c r="B160" t="s">
        <v>212</v>
      </c>
      <c r="C160" t="s">
        <v>217</v>
      </c>
      <c r="D160" s="3">
        <v>46096</v>
      </c>
      <c r="E160" t="s">
        <v>222</v>
      </c>
      <c r="F160">
        <v>15878</v>
      </c>
      <c r="G160" t="s">
        <v>235</v>
      </c>
      <c r="H160">
        <v>867</v>
      </c>
      <c r="I160" t="s">
        <v>227</v>
      </c>
      <c r="J160" t="s">
        <v>231</v>
      </c>
    </row>
    <row r="161" spans="1:10" x14ac:dyDescent="0.2">
      <c r="A161" t="s">
        <v>169</v>
      </c>
      <c r="B161" t="s">
        <v>210</v>
      </c>
      <c r="C161" t="s">
        <v>213</v>
      </c>
      <c r="D161" s="3">
        <v>46246</v>
      </c>
      <c r="E161" t="s">
        <v>222</v>
      </c>
      <c r="F161">
        <v>28182</v>
      </c>
      <c r="G161" t="s">
        <v>228</v>
      </c>
      <c r="H161">
        <v>200</v>
      </c>
      <c r="I161" t="s">
        <v>227</v>
      </c>
      <c r="J161" t="s">
        <v>231</v>
      </c>
    </row>
    <row r="162" spans="1:10" x14ac:dyDescent="0.2">
      <c r="A162" t="s">
        <v>170</v>
      </c>
      <c r="B162" t="s">
        <v>212</v>
      </c>
      <c r="C162" t="s">
        <v>217</v>
      </c>
      <c r="D162" s="3">
        <v>46263</v>
      </c>
      <c r="E162" t="s">
        <v>222</v>
      </c>
      <c r="F162">
        <v>42086</v>
      </c>
      <c r="G162" t="s">
        <v>223</v>
      </c>
      <c r="H162">
        <v>234</v>
      </c>
      <c r="I162" t="s">
        <v>227</v>
      </c>
      <c r="J162" t="s">
        <v>230</v>
      </c>
    </row>
    <row r="163" spans="1:10" x14ac:dyDescent="0.2">
      <c r="A163" t="s">
        <v>171</v>
      </c>
      <c r="B163" t="s">
        <v>233</v>
      </c>
      <c r="C163" t="s">
        <v>219</v>
      </c>
      <c r="D163" s="3">
        <v>46169</v>
      </c>
      <c r="E163" t="s">
        <v>220</v>
      </c>
      <c r="F163">
        <v>25665</v>
      </c>
      <c r="G163" t="s">
        <v>228</v>
      </c>
      <c r="H163">
        <v>226</v>
      </c>
      <c r="I163" t="s">
        <v>226</v>
      </c>
      <c r="J163" t="s">
        <v>230</v>
      </c>
    </row>
    <row r="164" spans="1:10" x14ac:dyDescent="0.2">
      <c r="A164" t="s">
        <v>172</v>
      </c>
      <c r="B164" t="s">
        <v>234</v>
      </c>
      <c r="C164" t="s">
        <v>213</v>
      </c>
      <c r="D164" s="3">
        <v>46178</v>
      </c>
      <c r="E164" t="s">
        <v>221</v>
      </c>
      <c r="F164">
        <v>21108</v>
      </c>
      <c r="G164" t="s">
        <v>224</v>
      </c>
      <c r="H164">
        <v>230</v>
      </c>
      <c r="I164" t="s">
        <v>227</v>
      </c>
      <c r="J164" t="s">
        <v>230</v>
      </c>
    </row>
    <row r="165" spans="1:10" x14ac:dyDescent="0.2">
      <c r="A165" t="s">
        <v>173</v>
      </c>
      <c r="B165" t="s">
        <v>210</v>
      </c>
      <c r="C165" t="s">
        <v>213</v>
      </c>
      <c r="D165" s="3">
        <v>46106</v>
      </c>
      <c r="E165" t="s">
        <v>222</v>
      </c>
      <c r="F165">
        <v>29305</v>
      </c>
      <c r="G165" t="s">
        <v>224</v>
      </c>
      <c r="H165">
        <v>159</v>
      </c>
      <c r="I165" t="s">
        <v>227</v>
      </c>
      <c r="J165" t="s">
        <v>231</v>
      </c>
    </row>
    <row r="166" spans="1:10" x14ac:dyDescent="0.2">
      <c r="A166" t="s">
        <v>174</v>
      </c>
      <c r="B166" t="s">
        <v>211</v>
      </c>
      <c r="C166" t="s">
        <v>213</v>
      </c>
      <c r="D166" s="3">
        <v>46199</v>
      </c>
      <c r="E166" t="s">
        <v>220</v>
      </c>
      <c r="F166">
        <v>42180</v>
      </c>
      <c r="G166" t="s">
        <v>223</v>
      </c>
      <c r="H166">
        <v>405</v>
      </c>
      <c r="I166" t="s">
        <v>226</v>
      </c>
      <c r="J166" t="s">
        <v>229</v>
      </c>
    </row>
    <row r="167" spans="1:10" x14ac:dyDescent="0.2">
      <c r="A167" t="s">
        <v>175</v>
      </c>
      <c r="B167" t="s">
        <v>210</v>
      </c>
      <c r="C167" t="s">
        <v>213</v>
      </c>
      <c r="D167" s="3">
        <v>46261</v>
      </c>
      <c r="E167" t="s">
        <v>220</v>
      </c>
      <c r="F167">
        <v>18737</v>
      </c>
      <c r="G167" t="s">
        <v>223</v>
      </c>
      <c r="H167">
        <v>373</v>
      </c>
      <c r="I167" t="s">
        <v>226</v>
      </c>
      <c r="J167" t="s">
        <v>232</v>
      </c>
    </row>
    <row r="168" spans="1:10" x14ac:dyDescent="0.2">
      <c r="A168" t="s">
        <v>176</v>
      </c>
      <c r="B168" t="s">
        <v>211</v>
      </c>
      <c r="C168" t="s">
        <v>215</v>
      </c>
      <c r="D168" s="3">
        <v>46099</v>
      </c>
      <c r="E168" t="s">
        <v>222</v>
      </c>
      <c r="F168">
        <v>16297</v>
      </c>
      <c r="G168" t="s">
        <v>224</v>
      </c>
      <c r="H168">
        <v>130</v>
      </c>
      <c r="I168" t="s">
        <v>227</v>
      </c>
      <c r="J168" t="s">
        <v>229</v>
      </c>
    </row>
    <row r="169" spans="1:10" x14ac:dyDescent="0.2">
      <c r="A169" t="s">
        <v>177</v>
      </c>
      <c r="B169" t="s">
        <v>210</v>
      </c>
      <c r="C169" t="s">
        <v>218</v>
      </c>
      <c r="D169" s="3">
        <v>46178</v>
      </c>
      <c r="E169" t="s">
        <v>221</v>
      </c>
      <c r="F169">
        <v>38683</v>
      </c>
      <c r="G169" t="s">
        <v>224</v>
      </c>
      <c r="H169">
        <v>665</v>
      </c>
      <c r="I169" t="s">
        <v>227</v>
      </c>
      <c r="J169" t="s">
        <v>229</v>
      </c>
    </row>
    <row r="170" spans="1:10" x14ac:dyDescent="0.2">
      <c r="A170" t="s">
        <v>178</v>
      </c>
      <c r="B170" t="s">
        <v>212</v>
      </c>
      <c r="C170" t="s">
        <v>213</v>
      </c>
      <c r="D170" s="3">
        <v>46209</v>
      </c>
      <c r="E170" t="s">
        <v>221</v>
      </c>
      <c r="F170">
        <v>23166</v>
      </c>
      <c r="G170" t="s">
        <v>228</v>
      </c>
      <c r="H170">
        <v>632</v>
      </c>
      <c r="I170" t="s">
        <v>227</v>
      </c>
      <c r="J170" t="s">
        <v>231</v>
      </c>
    </row>
    <row r="171" spans="1:10" x14ac:dyDescent="0.2">
      <c r="A171" t="s">
        <v>179</v>
      </c>
      <c r="B171" t="s">
        <v>212</v>
      </c>
      <c r="C171" t="s">
        <v>213</v>
      </c>
      <c r="D171" s="3">
        <v>46093</v>
      </c>
      <c r="E171" t="s">
        <v>221</v>
      </c>
      <c r="F171">
        <v>43427</v>
      </c>
      <c r="G171" t="s">
        <v>225</v>
      </c>
      <c r="H171">
        <v>592</v>
      </c>
      <c r="I171" t="s">
        <v>227</v>
      </c>
      <c r="J171" t="s">
        <v>231</v>
      </c>
    </row>
    <row r="172" spans="1:10" x14ac:dyDescent="0.2">
      <c r="A172" t="s">
        <v>180</v>
      </c>
      <c r="B172" t="s">
        <v>211</v>
      </c>
      <c r="C172" t="s">
        <v>219</v>
      </c>
      <c r="D172" s="3">
        <v>46086</v>
      </c>
      <c r="E172" t="s">
        <v>222</v>
      </c>
      <c r="F172">
        <v>34705</v>
      </c>
      <c r="G172" t="s">
        <v>223</v>
      </c>
      <c r="H172">
        <v>295</v>
      </c>
      <c r="I172" t="s">
        <v>227</v>
      </c>
      <c r="J172" t="s">
        <v>231</v>
      </c>
    </row>
    <row r="173" spans="1:10" x14ac:dyDescent="0.2">
      <c r="A173" t="s">
        <v>181</v>
      </c>
      <c r="B173" t="s">
        <v>211</v>
      </c>
      <c r="C173" t="s">
        <v>218</v>
      </c>
      <c r="D173" s="3">
        <v>46236</v>
      </c>
      <c r="E173" t="s">
        <v>221</v>
      </c>
      <c r="F173">
        <v>39748</v>
      </c>
      <c r="G173" t="s">
        <v>235</v>
      </c>
      <c r="H173">
        <v>71</v>
      </c>
      <c r="I173" t="s">
        <v>227</v>
      </c>
      <c r="J173" t="s">
        <v>231</v>
      </c>
    </row>
    <row r="174" spans="1:10" x14ac:dyDescent="0.2">
      <c r="A174" t="s">
        <v>182</v>
      </c>
      <c r="B174" t="s">
        <v>233</v>
      </c>
      <c r="C174" t="s">
        <v>214</v>
      </c>
      <c r="D174" s="3">
        <v>46191</v>
      </c>
      <c r="E174" t="s">
        <v>220</v>
      </c>
      <c r="F174">
        <v>2402</v>
      </c>
      <c r="G174" t="s">
        <v>225</v>
      </c>
      <c r="H174">
        <v>964</v>
      </c>
      <c r="I174" t="s">
        <v>226</v>
      </c>
      <c r="J174" t="s">
        <v>231</v>
      </c>
    </row>
    <row r="175" spans="1:10" x14ac:dyDescent="0.2">
      <c r="A175" t="s">
        <v>183</v>
      </c>
      <c r="B175" t="s">
        <v>211</v>
      </c>
      <c r="C175" t="s">
        <v>213</v>
      </c>
      <c r="D175" s="3">
        <v>46170</v>
      </c>
      <c r="E175" t="s">
        <v>220</v>
      </c>
      <c r="F175">
        <v>5540</v>
      </c>
      <c r="G175" t="s">
        <v>235</v>
      </c>
      <c r="H175">
        <v>430</v>
      </c>
      <c r="I175" t="s">
        <v>226</v>
      </c>
      <c r="J175" t="s">
        <v>230</v>
      </c>
    </row>
    <row r="176" spans="1:10" x14ac:dyDescent="0.2">
      <c r="A176" t="s">
        <v>184</v>
      </c>
      <c r="B176" t="s">
        <v>233</v>
      </c>
      <c r="C176" t="s">
        <v>218</v>
      </c>
      <c r="D176" s="3">
        <v>46213</v>
      </c>
      <c r="E176" t="s">
        <v>222</v>
      </c>
      <c r="F176">
        <v>38109</v>
      </c>
      <c r="G176" t="s">
        <v>235</v>
      </c>
      <c r="H176">
        <v>474</v>
      </c>
      <c r="I176" t="s">
        <v>227</v>
      </c>
      <c r="J176" t="s">
        <v>229</v>
      </c>
    </row>
    <row r="177" spans="1:10" x14ac:dyDescent="0.2">
      <c r="A177" t="s">
        <v>185</v>
      </c>
      <c r="B177" t="s">
        <v>233</v>
      </c>
      <c r="C177" t="s">
        <v>216</v>
      </c>
      <c r="D177" s="3">
        <v>46164</v>
      </c>
      <c r="E177" t="s">
        <v>221</v>
      </c>
      <c r="F177">
        <v>1735</v>
      </c>
      <c r="G177" t="s">
        <v>225</v>
      </c>
      <c r="H177">
        <v>194</v>
      </c>
      <c r="I177" t="s">
        <v>227</v>
      </c>
      <c r="J177" t="s">
        <v>231</v>
      </c>
    </row>
    <row r="178" spans="1:10" x14ac:dyDescent="0.2">
      <c r="A178" t="s">
        <v>186</v>
      </c>
      <c r="B178" t="s">
        <v>233</v>
      </c>
      <c r="C178" t="s">
        <v>215</v>
      </c>
      <c r="D178" s="3">
        <v>46143</v>
      </c>
      <c r="E178" t="s">
        <v>220</v>
      </c>
      <c r="F178">
        <v>10129</v>
      </c>
      <c r="G178" t="s">
        <v>223</v>
      </c>
      <c r="H178">
        <v>782</v>
      </c>
      <c r="I178" t="s">
        <v>226</v>
      </c>
      <c r="J178" t="s">
        <v>232</v>
      </c>
    </row>
    <row r="179" spans="1:10" x14ac:dyDescent="0.2">
      <c r="A179" t="s">
        <v>187</v>
      </c>
      <c r="B179" t="s">
        <v>211</v>
      </c>
      <c r="C179" t="s">
        <v>217</v>
      </c>
      <c r="D179" s="3">
        <v>46182</v>
      </c>
      <c r="E179" t="s">
        <v>222</v>
      </c>
      <c r="F179">
        <v>17479</v>
      </c>
      <c r="G179" t="s">
        <v>224</v>
      </c>
      <c r="H179">
        <v>671</v>
      </c>
      <c r="I179" t="s">
        <v>227</v>
      </c>
      <c r="J179" t="s">
        <v>229</v>
      </c>
    </row>
    <row r="180" spans="1:10" x14ac:dyDescent="0.2">
      <c r="A180" t="s">
        <v>188</v>
      </c>
      <c r="B180" t="s">
        <v>211</v>
      </c>
      <c r="C180" t="s">
        <v>213</v>
      </c>
      <c r="D180" s="3">
        <v>46126</v>
      </c>
      <c r="E180" t="s">
        <v>220</v>
      </c>
      <c r="F180">
        <v>35079</v>
      </c>
      <c r="G180" t="s">
        <v>224</v>
      </c>
      <c r="H180">
        <v>120</v>
      </c>
      <c r="I180" t="s">
        <v>226</v>
      </c>
      <c r="J180" t="s">
        <v>230</v>
      </c>
    </row>
    <row r="181" spans="1:10" x14ac:dyDescent="0.2">
      <c r="A181" t="s">
        <v>189</v>
      </c>
      <c r="B181" t="s">
        <v>234</v>
      </c>
      <c r="C181" t="s">
        <v>214</v>
      </c>
      <c r="D181" s="3">
        <v>46191</v>
      </c>
      <c r="E181" t="s">
        <v>222</v>
      </c>
      <c r="F181">
        <v>18643</v>
      </c>
      <c r="G181" t="s">
        <v>224</v>
      </c>
      <c r="H181">
        <v>326</v>
      </c>
      <c r="I181" t="s">
        <v>227</v>
      </c>
      <c r="J181" t="s">
        <v>231</v>
      </c>
    </row>
    <row r="182" spans="1:10" x14ac:dyDescent="0.2">
      <c r="A182" t="s">
        <v>190</v>
      </c>
      <c r="B182" t="s">
        <v>210</v>
      </c>
      <c r="C182" t="s">
        <v>219</v>
      </c>
      <c r="D182" s="3">
        <v>46187</v>
      </c>
      <c r="E182" t="s">
        <v>221</v>
      </c>
      <c r="F182">
        <v>6296</v>
      </c>
      <c r="G182" t="s">
        <v>223</v>
      </c>
      <c r="H182">
        <v>921</v>
      </c>
      <c r="I182" t="s">
        <v>227</v>
      </c>
      <c r="J182" t="s">
        <v>229</v>
      </c>
    </row>
    <row r="183" spans="1:10" x14ac:dyDescent="0.2">
      <c r="A183" t="s">
        <v>191</v>
      </c>
      <c r="B183" t="s">
        <v>233</v>
      </c>
      <c r="C183" t="s">
        <v>213</v>
      </c>
      <c r="D183" s="3">
        <v>46184</v>
      </c>
      <c r="E183" t="s">
        <v>221</v>
      </c>
      <c r="F183">
        <v>14976</v>
      </c>
      <c r="G183" t="s">
        <v>228</v>
      </c>
      <c r="H183">
        <v>448</v>
      </c>
      <c r="I183" t="s">
        <v>227</v>
      </c>
      <c r="J183" t="s">
        <v>232</v>
      </c>
    </row>
    <row r="184" spans="1:10" x14ac:dyDescent="0.2">
      <c r="A184" t="s">
        <v>192</v>
      </c>
      <c r="B184" t="s">
        <v>234</v>
      </c>
      <c r="C184" t="s">
        <v>213</v>
      </c>
      <c r="D184" s="3">
        <v>46094</v>
      </c>
      <c r="E184" t="s">
        <v>222</v>
      </c>
      <c r="F184">
        <v>26546</v>
      </c>
      <c r="G184" t="s">
        <v>228</v>
      </c>
      <c r="H184">
        <v>756</v>
      </c>
      <c r="I184" t="s">
        <v>227</v>
      </c>
      <c r="J184" t="s">
        <v>230</v>
      </c>
    </row>
    <row r="185" spans="1:10" x14ac:dyDescent="0.2">
      <c r="A185" t="s">
        <v>193</v>
      </c>
      <c r="B185" t="s">
        <v>233</v>
      </c>
      <c r="C185" t="s">
        <v>213</v>
      </c>
      <c r="D185" s="3">
        <v>46261</v>
      </c>
      <c r="E185" t="s">
        <v>220</v>
      </c>
      <c r="F185">
        <v>14426</v>
      </c>
      <c r="G185" t="s">
        <v>223</v>
      </c>
      <c r="H185">
        <v>405</v>
      </c>
      <c r="I185" t="s">
        <v>226</v>
      </c>
      <c r="J185" t="s">
        <v>229</v>
      </c>
    </row>
    <row r="186" spans="1:10" x14ac:dyDescent="0.2">
      <c r="A186" t="s">
        <v>194</v>
      </c>
      <c r="B186" t="s">
        <v>234</v>
      </c>
      <c r="C186" t="s">
        <v>213</v>
      </c>
      <c r="D186" s="3">
        <v>46208</v>
      </c>
      <c r="E186" t="s">
        <v>222</v>
      </c>
      <c r="F186">
        <v>7566</v>
      </c>
      <c r="G186" t="s">
        <v>223</v>
      </c>
      <c r="H186">
        <v>316</v>
      </c>
      <c r="I186" t="s">
        <v>227</v>
      </c>
      <c r="J186" t="s">
        <v>232</v>
      </c>
    </row>
    <row r="187" spans="1:10" x14ac:dyDescent="0.2">
      <c r="A187" t="s">
        <v>195</v>
      </c>
      <c r="B187" t="s">
        <v>210</v>
      </c>
      <c r="C187" t="s">
        <v>218</v>
      </c>
      <c r="D187" s="3">
        <v>46137</v>
      </c>
      <c r="E187" t="s">
        <v>222</v>
      </c>
      <c r="F187">
        <v>6226</v>
      </c>
      <c r="G187" t="s">
        <v>228</v>
      </c>
      <c r="H187">
        <v>114</v>
      </c>
      <c r="I187" t="s">
        <v>227</v>
      </c>
      <c r="J187" t="s">
        <v>231</v>
      </c>
    </row>
    <row r="188" spans="1:10" x14ac:dyDescent="0.2">
      <c r="A188" t="s">
        <v>196</v>
      </c>
      <c r="B188" t="s">
        <v>234</v>
      </c>
      <c r="C188" t="s">
        <v>218</v>
      </c>
      <c r="D188" s="3">
        <v>46224</v>
      </c>
      <c r="E188" t="s">
        <v>221</v>
      </c>
      <c r="F188">
        <v>38406</v>
      </c>
      <c r="G188" t="s">
        <v>225</v>
      </c>
      <c r="H188">
        <v>294</v>
      </c>
      <c r="I188" t="s">
        <v>227</v>
      </c>
      <c r="J188" t="s">
        <v>232</v>
      </c>
    </row>
    <row r="189" spans="1:10" x14ac:dyDescent="0.2">
      <c r="A189" t="s">
        <v>197</v>
      </c>
      <c r="B189" t="s">
        <v>211</v>
      </c>
      <c r="C189" t="s">
        <v>215</v>
      </c>
      <c r="D189" s="3">
        <v>46248</v>
      </c>
      <c r="E189" t="s">
        <v>222</v>
      </c>
      <c r="F189">
        <v>36602</v>
      </c>
      <c r="G189" t="s">
        <v>224</v>
      </c>
      <c r="H189">
        <v>558</v>
      </c>
      <c r="I189" t="s">
        <v>227</v>
      </c>
      <c r="J189" t="s">
        <v>232</v>
      </c>
    </row>
    <row r="190" spans="1:10" x14ac:dyDescent="0.2">
      <c r="A190" t="s">
        <v>198</v>
      </c>
      <c r="B190" t="s">
        <v>233</v>
      </c>
      <c r="C190" t="s">
        <v>218</v>
      </c>
      <c r="D190" s="3">
        <v>46226</v>
      </c>
      <c r="E190" t="s">
        <v>220</v>
      </c>
      <c r="F190">
        <v>40091</v>
      </c>
      <c r="G190" t="s">
        <v>235</v>
      </c>
      <c r="H190">
        <v>59</v>
      </c>
      <c r="I190" t="s">
        <v>226</v>
      </c>
      <c r="J190" t="s">
        <v>230</v>
      </c>
    </row>
    <row r="191" spans="1:10" x14ac:dyDescent="0.2">
      <c r="A191" t="s">
        <v>199</v>
      </c>
      <c r="B191" t="s">
        <v>234</v>
      </c>
      <c r="C191" t="s">
        <v>219</v>
      </c>
      <c r="D191" s="3">
        <v>46185</v>
      </c>
      <c r="E191" t="s">
        <v>220</v>
      </c>
      <c r="F191">
        <v>32843</v>
      </c>
      <c r="G191" t="s">
        <v>224</v>
      </c>
      <c r="H191">
        <v>127</v>
      </c>
      <c r="I191" t="s">
        <v>226</v>
      </c>
      <c r="J191" t="s">
        <v>230</v>
      </c>
    </row>
    <row r="192" spans="1:10" x14ac:dyDescent="0.2">
      <c r="A192" t="s">
        <v>200</v>
      </c>
      <c r="B192" t="s">
        <v>212</v>
      </c>
      <c r="C192" t="s">
        <v>217</v>
      </c>
      <c r="D192" s="3">
        <v>46193</v>
      </c>
      <c r="E192" t="s">
        <v>221</v>
      </c>
      <c r="F192">
        <v>44789</v>
      </c>
      <c r="G192" t="s">
        <v>224</v>
      </c>
      <c r="H192">
        <v>821</v>
      </c>
      <c r="I192" t="s">
        <v>227</v>
      </c>
      <c r="J192" t="s">
        <v>232</v>
      </c>
    </row>
    <row r="193" spans="1:10" x14ac:dyDescent="0.2">
      <c r="A193" t="s">
        <v>201</v>
      </c>
      <c r="B193" t="s">
        <v>212</v>
      </c>
      <c r="C193" t="s">
        <v>214</v>
      </c>
      <c r="D193" s="3">
        <v>46264</v>
      </c>
      <c r="E193" t="s">
        <v>221</v>
      </c>
      <c r="F193">
        <v>15844</v>
      </c>
      <c r="G193" t="s">
        <v>235</v>
      </c>
      <c r="H193">
        <v>909</v>
      </c>
      <c r="I193" t="s">
        <v>227</v>
      </c>
      <c r="J193" t="s">
        <v>231</v>
      </c>
    </row>
    <row r="194" spans="1:10" x14ac:dyDescent="0.2">
      <c r="A194" t="s">
        <v>202</v>
      </c>
      <c r="B194" t="s">
        <v>234</v>
      </c>
      <c r="C194" t="s">
        <v>216</v>
      </c>
      <c r="D194" s="3">
        <v>46083</v>
      </c>
      <c r="E194" t="s">
        <v>222</v>
      </c>
      <c r="F194">
        <v>3760</v>
      </c>
      <c r="G194" t="s">
        <v>228</v>
      </c>
      <c r="H194">
        <v>992</v>
      </c>
      <c r="I194" t="s">
        <v>227</v>
      </c>
      <c r="J194" t="s">
        <v>229</v>
      </c>
    </row>
    <row r="195" spans="1:10" x14ac:dyDescent="0.2">
      <c r="A195" t="s">
        <v>203</v>
      </c>
      <c r="B195" t="s">
        <v>211</v>
      </c>
      <c r="C195" t="s">
        <v>218</v>
      </c>
      <c r="D195" s="3">
        <v>46127</v>
      </c>
      <c r="E195" t="s">
        <v>221</v>
      </c>
      <c r="F195">
        <v>25720</v>
      </c>
      <c r="G195" t="s">
        <v>225</v>
      </c>
      <c r="H195">
        <v>308</v>
      </c>
      <c r="I195" t="s">
        <v>227</v>
      </c>
      <c r="J195" t="s">
        <v>232</v>
      </c>
    </row>
    <row r="196" spans="1:10" x14ac:dyDescent="0.2">
      <c r="A196" t="s">
        <v>204</v>
      </c>
      <c r="B196" t="s">
        <v>233</v>
      </c>
      <c r="C196" t="s">
        <v>214</v>
      </c>
      <c r="D196" s="3">
        <v>46099</v>
      </c>
      <c r="E196" t="s">
        <v>220</v>
      </c>
      <c r="F196">
        <v>28150</v>
      </c>
      <c r="G196" t="s">
        <v>228</v>
      </c>
      <c r="H196">
        <v>580</v>
      </c>
      <c r="I196" t="s">
        <v>226</v>
      </c>
      <c r="J196" t="s">
        <v>229</v>
      </c>
    </row>
    <row r="197" spans="1:10" x14ac:dyDescent="0.2">
      <c r="A197" t="s">
        <v>205</v>
      </c>
      <c r="B197" t="s">
        <v>211</v>
      </c>
      <c r="C197" t="s">
        <v>214</v>
      </c>
      <c r="D197" s="3">
        <v>46141</v>
      </c>
      <c r="E197" t="s">
        <v>220</v>
      </c>
      <c r="F197">
        <v>4497</v>
      </c>
      <c r="G197" t="s">
        <v>224</v>
      </c>
      <c r="H197">
        <v>461</v>
      </c>
      <c r="I197" t="s">
        <v>226</v>
      </c>
      <c r="J197" t="s">
        <v>232</v>
      </c>
    </row>
    <row r="198" spans="1:10" x14ac:dyDescent="0.2">
      <c r="A198" t="s">
        <v>206</v>
      </c>
      <c r="B198" t="s">
        <v>211</v>
      </c>
      <c r="C198" t="s">
        <v>218</v>
      </c>
      <c r="D198" s="3">
        <v>46086</v>
      </c>
      <c r="E198" t="s">
        <v>220</v>
      </c>
      <c r="F198">
        <v>2272</v>
      </c>
      <c r="G198" t="s">
        <v>224</v>
      </c>
      <c r="H198">
        <v>173</v>
      </c>
      <c r="I198" t="s">
        <v>226</v>
      </c>
      <c r="J198" t="s">
        <v>231</v>
      </c>
    </row>
    <row r="199" spans="1:10" x14ac:dyDescent="0.2">
      <c r="A199" t="s">
        <v>207</v>
      </c>
      <c r="B199" t="s">
        <v>211</v>
      </c>
      <c r="C199" t="s">
        <v>214</v>
      </c>
      <c r="D199" s="3">
        <v>46174</v>
      </c>
      <c r="E199" t="s">
        <v>220</v>
      </c>
      <c r="F199">
        <v>4501</v>
      </c>
      <c r="G199" t="s">
        <v>223</v>
      </c>
      <c r="H199">
        <v>282</v>
      </c>
      <c r="I199" t="s">
        <v>226</v>
      </c>
      <c r="J199" t="s">
        <v>229</v>
      </c>
    </row>
    <row r="200" spans="1:10" x14ac:dyDescent="0.2">
      <c r="A200" t="s">
        <v>208</v>
      </c>
      <c r="B200" t="s">
        <v>212</v>
      </c>
      <c r="C200" t="s">
        <v>219</v>
      </c>
      <c r="D200" s="3">
        <v>46220</v>
      </c>
      <c r="E200" t="s">
        <v>222</v>
      </c>
      <c r="F200">
        <v>3600</v>
      </c>
      <c r="G200" t="s">
        <v>223</v>
      </c>
      <c r="H200">
        <v>150</v>
      </c>
      <c r="I200" t="s">
        <v>227</v>
      </c>
      <c r="J200" t="s">
        <v>229</v>
      </c>
    </row>
    <row r="201" spans="1:10" x14ac:dyDescent="0.2">
      <c r="A201" t="s">
        <v>209</v>
      </c>
      <c r="B201" t="s">
        <v>212</v>
      </c>
      <c r="C201" t="s">
        <v>218</v>
      </c>
      <c r="D201" s="3">
        <v>46139</v>
      </c>
      <c r="E201" t="s">
        <v>222</v>
      </c>
      <c r="F201">
        <v>1489</v>
      </c>
      <c r="G201" t="s">
        <v>235</v>
      </c>
      <c r="H201">
        <v>832</v>
      </c>
      <c r="I201" t="s">
        <v>227</v>
      </c>
      <c r="J201" t="s">
        <v>230</v>
      </c>
    </row>
  </sheetData>
  <phoneticPr fontId="3" type="noConversion"/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5F142-60D1-9D42-B1EC-A33FEC057D79}">
  <sheetPr codeName="Tabelle2"/>
  <dimension ref="A1:N201"/>
  <sheetViews>
    <sheetView topLeftCell="A126" workbookViewId="0">
      <selection activeCell="M2" sqref="M2"/>
    </sheetView>
  </sheetViews>
  <sheetFormatPr baseColWidth="10" defaultRowHeight="16" x14ac:dyDescent="0.2"/>
  <cols>
    <col min="1" max="1" width="9" customWidth="1"/>
    <col min="2" max="2" width="12.6640625" customWidth="1"/>
    <col min="3" max="3" width="8.6640625" bestFit="1" customWidth="1"/>
    <col min="4" max="4" width="15" customWidth="1"/>
    <col min="5" max="5" width="9.83203125" bestFit="1" customWidth="1"/>
    <col min="6" max="6" width="16.1640625" customWidth="1"/>
    <col min="7" max="7" width="12.33203125" bestFit="1" customWidth="1"/>
    <col min="8" max="8" width="14.83203125" customWidth="1"/>
    <col min="9" max="9" width="11.83203125" customWidth="1"/>
    <col min="10" max="10" width="12.33203125" bestFit="1" customWidth="1"/>
    <col min="12" max="12" width="22.33203125" bestFit="1" customWidth="1"/>
    <col min="13" max="13" width="19.33203125" bestFit="1" customWidth="1"/>
    <col min="14" max="14" width="20.6640625" bestFit="1" customWidth="1"/>
  </cols>
  <sheetData>
    <row r="1" spans="1:14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L1" t="s">
        <v>237</v>
      </c>
      <c r="M1" t="s">
        <v>236</v>
      </c>
      <c r="N1" t="s">
        <v>238</v>
      </c>
    </row>
    <row r="2" spans="1:14" x14ac:dyDescent="0.2">
      <c r="A2" s="1" t="s">
        <v>10</v>
      </c>
      <c r="B2" s="1" t="s">
        <v>210</v>
      </c>
      <c r="C2" s="1" t="s">
        <v>213</v>
      </c>
      <c r="D2" s="4">
        <v>46254</v>
      </c>
      <c r="E2" s="1" t="s">
        <v>221</v>
      </c>
      <c r="F2" s="1">
        <v>27459</v>
      </c>
      <c r="G2" s="1" t="s">
        <v>223</v>
      </c>
      <c r="H2" s="1">
        <v>565</v>
      </c>
      <c r="I2" s="1" t="s">
        <v>227</v>
      </c>
      <c r="J2" s="1" t="s">
        <v>231</v>
      </c>
      <c r="K2" s="9"/>
      <c r="L2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2" t="str">
        <f>IF(AND(Tabelle2[[#This Row],[Mitarbeiterzahl]]&gt;=10,H2&lt;=1000),"OK","Fehler")</f>
        <v>OK</v>
      </c>
      <c r="N2" t="str">
        <f>IF(AND(Tabelle2[[#This Row],[Umsatzpotenzial]]&gt;=1000,Tabelle2[[#This Row],[Umsatzpotenzial]]&lt;=50000), "OK","Fehler")</f>
        <v>OK</v>
      </c>
    </row>
    <row r="3" spans="1:14" x14ac:dyDescent="0.2">
      <c r="A3" s="2" t="s">
        <v>11</v>
      </c>
      <c r="B3" s="2" t="s">
        <v>212</v>
      </c>
      <c r="C3" s="2" t="s">
        <v>215</v>
      </c>
      <c r="D3" s="5">
        <v>46098</v>
      </c>
      <c r="E3" s="2" t="s">
        <v>220</v>
      </c>
      <c r="F3" s="2">
        <v>21953</v>
      </c>
      <c r="G3" s="2" t="s">
        <v>223</v>
      </c>
      <c r="H3" s="2">
        <v>933</v>
      </c>
      <c r="I3" s="2" t="s">
        <v>226</v>
      </c>
      <c r="J3" s="2" t="s">
        <v>229</v>
      </c>
      <c r="K3" s="2"/>
      <c r="L3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3" t="str">
        <f>IF(AND(Tabelle2[[#This Row],[Mitarbeiterzahl]]&gt;=10,H3&lt;=1000),"OK","Fehler")</f>
        <v>OK</v>
      </c>
      <c r="N3" t="str">
        <f>IF(AND(Tabelle2[[#This Row],[Umsatzpotenzial]]&gt;=1000,Tabelle2[[#This Row],[Umsatzpotenzial]]&lt;=50000), "OK","Fehler")</f>
        <v>OK</v>
      </c>
    </row>
    <row r="4" spans="1:14" x14ac:dyDescent="0.2">
      <c r="A4" s="1" t="s">
        <v>12</v>
      </c>
      <c r="B4" s="1" t="s">
        <v>234</v>
      </c>
      <c r="C4" s="1" t="s">
        <v>218</v>
      </c>
      <c r="D4" s="4">
        <v>46108</v>
      </c>
      <c r="E4" s="1" t="s">
        <v>221</v>
      </c>
      <c r="F4" s="1">
        <v>49875</v>
      </c>
      <c r="G4" s="1" t="s">
        <v>224</v>
      </c>
      <c r="H4" s="1">
        <v>423</v>
      </c>
      <c r="I4" s="1" t="s">
        <v>227</v>
      </c>
      <c r="J4" s="1" t="s">
        <v>229</v>
      </c>
      <c r="K4" s="2"/>
      <c r="L4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4" t="str">
        <f>IF(AND(Tabelle2[[#This Row],[Mitarbeiterzahl]]&gt;=10,H4&lt;=1000),"OK","Fehler")</f>
        <v>OK</v>
      </c>
      <c r="N4" t="str">
        <f>IF(AND(Tabelle2[[#This Row],[Umsatzpotenzial]]&gt;=1000,Tabelle2[[#This Row],[Umsatzpotenzial]]&lt;=50000), "OK","Fehler")</f>
        <v>OK</v>
      </c>
    </row>
    <row r="5" spans="1:14" x14ac:dyDescent="0.2">
      <c r="A5" s="2" t="s">
        <v>13</v>
      </c>
      <c r="B5" s="2" t="s">
        <v>234</v>
      </c>
      <c r="C5" s="2" t="s">
        <v>218</v>
      </c>
      <c r="D5" s="5">
        <v>46169</v>
      </c>
      <c r="E5" s="2" t="s">
        <v>221</v>
      </c>
      <c r="F5" s="2">
        <v>38709</v>
      </c>
      <c r="G5" s="2" t="s">
        <v>228</v>
      </c>
      <c r="H5" s="2">
        <v>954</v>
      </c>
      <c r="I5" s="2" t="s">
        <v>227</v>
      </c>
      <c r="J5" s="2" t="s">
        <v>230</v>
      </c>
      <c r="K5" s="2"/>
      <c r="L5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5" t="str">
        <f>IF(AND(Tabelle2[[#This Row],[Mitarbeiterzahl]]&gt;=10,H5&lt;=1000),"OK","Fehler")</f>
        <v>OK</v>
      </c>
      <c r="N5" t="str">
        <f>IF(AND(Tabelle2[[#This Row],[Umsatzpotenzial]]&gt;=1000,Tabelle2[[#This Row],[Umsatzpotenzial]]&lt;=50000), "OK","Fehler")</f>
        <v>OK</v>
      </c>
    </row>
    <row r="6" spans="1:14" x14ac:dyDescent="0.2">
      <c r="A6" s="1" t="s">
        <v>14</v>
      </c>
      <c r="B6" s="1" t="s">
        <v>210</v>
      </c>
      <c r="C6" s="1" t="s">
        <v>217</v>
      </c>
      <c r="D6" s="4">
        <v>46177</v>
      </c>
      <c r="E6" s="1" t="s">
        <v>221</v>
      </c>
      <c r="F6" s="1">
        <v>13068</v>
      </c>
      <c r="G6" s="1" t="s">
        <v>223</v>
      </c>
      <c r="H6" s="1">
        <v>437</v>
      </c>
      <c r="I6" s="1" t="s">
        <v>227</v>
      </c>
      <c r="J6" s="1" t="s">
        <v>231</v>
      </c>
      <c r="K6" s="2"/>
      <c r="L6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6" t="str">
        <f>IF(AND(Tabelle2[[#This Row],[Mitarbeiterzahl]]&gt;=10,H6&lt;=1000),"OK","Fehler")</f>
        <v>OK</v>
      </c>
      <c r="N6" t="str">
        <f>IF(AND(Tabelle2[[#This Row],[Umsatzpotenzial]]&gt;=1000,Tabelle2[[#This Row],[Umsatzpotenzial]]&lt;=50000), "OK","Fehler")</f>
        <v>OK</v>
      </c>
    </row>
    <row r="7" spans="1:14" x14ac:dyDescent="0.2">
      <c r="A7" s="2" t="s">
        <v>15</v>
      </c>
      <c r="B7" s="2" t="s">
        <v>233</v>
      </c>
      <c r="C7" s="2" t="s">
        <v>213</v>
      </c>
      <c r="D7" s="5">
        <v>46237</v>
      </c>
      <c r="E7" s="2" t="s">
        <v>222</v>
      </c>
      <c r="F7" s="2">
        <v>44137</v>
      </c>
      <c r="G7" s="2" t="s">
        <v>246</v>
      </c>
      <c r="H7" s="2">
        <v>954</v>
      </c>
      <c r="I7" s="2" t="s">
        <v>227</v>
      </c>
      <c r="J7" s="2" t="s">
        <v>230</v>
      </c>
      <c r="K7" s="2"/>
      <c r="L7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7" t="str">
        <f>IF(AND(Tabelle2[[#This Row],[Mitarbeiterzahl]]&gt;=10,H7&lt;=1000),"OK","Fehler")</f>
        <v>OK</v>
      </c>
      <c r="N7" t="str">
        <f>IF(AND(Tabelle2[[#This Row],[Umsatzpotenzial]]&gt;=1000,Tabelle2[[#This Row],[Umsatzpotenzial]]&lt;=50000), "OK","Fehler")</f>
        <v>OK</v>
      </c>
    </row>
    <row r="8" spans="1:14" x14ac:dyDescent="0.2">
      <c r="A8" s="1" t="s">
        <v>16</v>
      </c>
      <c r="B8" s="1" t="s">
        <v>211</v>
      </c>
      <c r="C8" s="1" t="s">
        <v>216</v>
      </c>
      <c r="D8" s="4">
        <v>46178</v>
      </c>
      <c r="E8" s="1" t="s">
        <v>221</v>
      </c>
      <c r="F8" s="1">
        <v>43019</v>
      </c>
      <c r="G8" s="1" t="s">
        <v>225</v>
      </c>
      <c r="H8" s="1">
        <v>624</v>
      </c>
      <c r="I8" s="1" t="s">
        <v>227</v>
      </c>
      <c r="J8" s="1" t="s">
        <v>232</v>
      </c>
      <c r="K8" s="2"/>
      <c r="L8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8" t="str">
        <f>IF(AND(Tabelle2[[#This Row],[Mitarbeiterzahl]]&gt;=10,H8&lt;=1000),"OK","Fehler")</f>
        <v>OK</v>
      </c>
      <c r="N8" t="str">
        <f>IF(AND(Tabelle2[[#This Row],[Umsatzpotenzial]]&gt;=1000,Tabelle2[[#This Row],[Umsatzpotenzial]]&lt;=50000), "OK","Fehler")</f>
        <v>OK</v>
      </c>
    </row>
    <row r="9" spans="1:14" x14ac:dyDescent="0.2">
      <c r="A9" s="2" t="s">
        <v>17</v>
      </c>
      <c r="B9" s="2" t="s">
        <v>212</v>
      </c>
      <c r="C9" s="2" t="s">
        <v>215</v>
      </c>
      <c r="D9" s="5">
        <v>46187</v>
      </c>
      <c r="E9" s="2" t="s">
        <v>221</v>
      </c>
      <c r="F9" s="2">
        <v>33592</v>
      </c>
      <c r="G9" s="2" t="s">
        <v>223</v>
      </c>
      <c r="H9" s="2">
        <v>372</v>
      </c>
      <c r="I9" s="2" t="s">
        <v>227</v>
      </c>
      <c r="J9" s="2" t="s">
        <v>231</v>
      </c>
      <c r="K9" s="2"/>
      <c r="L9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9" t="str">
        <f>IF(AND(Tabelle2[[#This Row],[Mitarbeiterzahl]]&gt;=10,H9&lt;=1000),"OK","Fehler")</f>
        <v>OK</v>
      </c>
      <c r="N9" t="str">
        <f>IF(AND(Tabelle2[[#This Row],[Umsatzpotenzial]]&gt;=1000,Tabelle2[[#This Row],[Umsatzpotenzial]]&lt;=50000), "OK","Fehler")</f>
        <v>OK</v>
      </c>
    </row>
    <row r="10" spans="1:14" x14ac:dyDescent="0.2">
      <c r="A10" s="1" t="s">
        <v>18</v>
      </c>
      <c r="B10" s="1" t="s">
        <v>234</v>
      </c>
      <c r="C10" s="1" t="s">
        <v>214</v>
      </c>
      <c r="D10" s="4">
        <v>46198</v>
      </c>
      <c r="E10" s="1" t="s">
        <v>220</v>
      </c>
      <c r="F10" s="1">
        <v>41422</v>
      </c>
      <c r="G10" s="1" t="s">
        <v>246</v>
      </c>
      <c r="H10" s="1">
        <v>139</v>
      </c>
      <c r="I10" s="1" t="s">
        <v>226</v>
      </c>
      <c r="J10" s="1" t="s">
        <v>231</v>
      </c>
      <c r="K10" s="2"/>
      <c r="L10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0" t="str">
        <f>IF(AND(Tabelle2[[#This Row],[Mitarbeiterzahl]]&gt;=10,H10&lt;=1000),"OK","Fehler")</f>
        <v>OK</v>
      </c>
      <c r="N10" t="str">
        <f>IF(AND(Tabelle2[[#This Row],[Umsatzpotenzial]]&gt;=1000,Tabelle2[[#This Row],[Umsatzpotenzial]]&lt;=50000), "OK","Fehler")</f>
        <v>OK</v>
      </c>
    </row>
    <row r="11" spans="1:14" x14ac:dyDescent="0.2">
      <c r="A11" s="2" t="s">
        <v>19</v>
      </c>
      <c r="B11" s="2" t="s">
        <v>212</v>
      </c>
      <c r="C11" s="2" t="s">
        <v>216</v>
      </c>
      <c r="D11" s="5">
        <v>46244</v>
      </c>
      <c r="E11" s="2" t="s">
        <v>220</v>
      </c>
      <c r="F11" s="2">
        <v>16995</v>
      </c>
      <c r="G11" s="2" t="s">
        <v>223</v>
      </c>
      <c r="H11" s="2">
        <v>537</v>
      </c>
      <c r="I11" s="2" t="s">
        <v>226</v>
      </c>
      <c r="J11" s="2" t="s">
        <v>230</v>
      </c>
      <c r="K11" s="2"/>
      <c r="L11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1" t="str">
        <f>IF(AND(Tabelle2[[#This Row],[Mitarbeiterzahl]]&gt;=10,H11&lt;=1000),"OK","Fehler")</f>
        <v>OK</v>
      </c>
      <c r="N11" t="str">
        <f>IF(AND(Tabelle2[[#This Row],[Umsatzpotenzial]]&gt;=1000,Tabelle2[[#This Row],[Umsatzpotenzial]]&lt;=50000), "OK","Fehler")</f>
        <v>OK</v>
      </c>
    </row>
    <row r="12" spans="1:14" x14ac:dyDescent="0.2">
      <c r="A12" s="1" t="s">
        <v>20</v>
      </c>
      <c r="B12" s="1" t="s">
        <v>234</v>
      </c>
      <c r="C12" s="1" t="s">
        <v>219</v>
      </c>
      <c r="D12" s="4">
        <v>46252</v>
      </c>
      <c r="E12" s="1" t="s">
        <v>222</v>
      </c>
      <c r="F12" s="1">
        <v>5671</v>
      </c>
      <c r="G12" s="1" t="s">
        <v>224</v>
      </c>
      <c r="H12" s="1">
        <v>626</v>
      </c>
      <c r="I12" s="1" t="s">
        <v>227</v>
      </c>
      <c r="J12" s="1" t="s">
        <v>230</v>
      </c>
      <c r="K12" s="2"/>
      <c r="L12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2" t="str">
        <f>IF(AND(Tabelle2[[#This Row],[Mitarbeiterzahl]]&gt;=10,H12&lt;=1000),"OK","Fehler")</f>
        <v>OK</v>
      </c>
      <c r="N12" t="str">
        <f>IF(AND(Tabelle2[[#This Row],[Umsatzpotenzial]]&gt;=1000,Tabelle2[[#This Row],[Umsatzpotenzial]]&lt;=50000), "OK","Fehler")</f>
        <v>OK</v>
      </c>
    </row>
    <row r="13" spans="1:14" x14ac:dyDescent="0.2">
      <c r="A13" s="2" t="s">
        <v>21</v>
      </c>
      <c r="B13" s="2" t="s">
        <v>212</v>
      </c>
      <c r="C13" s="2" t="s">
        <v>217</v>
      </c>
      <c r="D13" s="5">
        <v>46213</v>
      </c>
      <c r="E13" s="2" t="s">
        <v>222</v>
      </c>
      <c r="F13" s="2">
        <v>45602</v>
      </c>
      <c r="G13" s="2" t="s">
        <v>224</v>
      </c>
      <c r="H13" s="2">
        <v>976</v>
      </c>
      <c r="I13" s="2" t="s">
        <v>227</v>
      </c>
      <c r="J13" s="2" t="s">
        <v>232</v>
      </c>
      <c r="K13" s="2"/>
      <c r="L13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3" t="str">
        <f>IF(AND(Tabelle2[[#This Row],[Mitarbeiterzahl]]&gt;=10,H13&lt;=1000),"OK","Fehler")</f>
        <v>OK</v>
      </c>
      <c r="N13" t="str">
        <f>IF(AND(Tabelle2[[#This Row],[Umsatzpotenzial]]&gt;=1000,Tabelle2[[#This Row],[Umsatzpotenzial]]&lt;=50000), "OK","Fehler")</f>
        <v>OK</v>
      </c>
    </row>
    <row r="14" spans="1:14" x14ac:dyDescent="0.2">
      <c r="A14" s="1" t="s">
        <v>22</v>
      </c>
      <c r="B14" s="1" t="s">
        <v>212</v>
      </c>
      <c r="C14" s="1" t="s">
        <v>216</v>
      </c>
      <c r="D14" s="4">
        <v>46227</v>
      </c>
      <c r="E14" s="1" t="s">
        <v>222</v>
      </c>
      <c r="F14" s="1">
        <v>24879</v>
      </c>
      <c r="G14" s="1" t="s">
        <v>225</v>
      </c>
      <c r="H14" s="1">
        <v>332</v>
      </c>
      <c r="I14" s="1" t="s">
        <v>227</v>
      </c>
      <c r="J14" s="1" t="s">
        <v>230</v>
      </c>
      <c r="K14" s="2"/>
      <c r="L14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4" t="str">
        <f>IF(AND(Tabelle2[[#This Row],[Mitarbeiterzahl]]&gt;=10,H14&lt;=1000),"OK","Fehler")</f>
        <v>OK</v>
      </c>
      <c r="N14" t="str">
        <f>IF(AND(Tabelle2[[#This Row],[Umsatzpotenzial]]&gt;=1000,Tabelle2[[#This Row],[Umsatzpotenzial]]&lt;=50000), "OK","Fehler")</f>
        <v>OK</v>
      </c>
    </row>
    <row r="15" spans="1:14" x14ac:dyDescent="0.2">
      <c r="A15" s="2" t="s">
        <v>23</v>
      </c>
      <c r="B15" s="2" t="s">
        <v>234</v>
      </c>
      <c r="C15" s="2" t="s">
        <v>215</v>
      </c>
      <c r="D15" s="5">
        <v>46209</v>
      </c>
      <c r="E15" s="2" t="s">
        <v>222</v>
      </c>
      <c r="F15" s="2">
        <v>28625</v>
      </c>
      <c r="G15" s="2" t="s">
        <v>246</v>
      </c>
      <c r="H15" s="2">
        <v>601</v>
      </c>
      <c r="I15" s="2" t="s">
        <v>227</v>
      </c>
      <c r="J15" s="2" t="s">
        <v>229</v>
      </c>
      <c r="K15" s="2"/>
      <c r="L15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5" t="str">
        <f>IF(AND(Tabelle2[[#This Row],[Mitarbeiterzahl]]&gt;=10,H15&lt;=1000),"OK","Fehler")</f>
        <v>OK</v>
      </c>
      <c r="N15" t="str">
        <f>IF(AND(Tabelle2[[#This Row],[Umsatzpotenzial]]&gt;=1000,Tabelle2[[#This Row],[Umsatzpotenzial]]&lt;=50000), "OK","Fehler")</f>
        <v>OK</v>
      </c>
    </row>
    <row r="16" spans="1:14" x14ac:dyDescent="0.2">
      <c r="A16" s="1" t="s">
        <v>24</v>
      </c>
      <c r="B16" s="1" t="s">
        <v>211</v>
      </c>
      <c r="C16" s="1" t="s">
        <v>219</v>
      </c>
      <c r="D16" s="4">
        <v>46148</v>
      </c>
      <c r="E16" s="1" t="s">
        <v>220</v>
      </c>
      <c r="F16" s="1">
        <v>8278</v>
      </c>
      <c r="G16" s="1" t="s">
        <v>224</v>
      </c>
      <c r="H16" s="1">
        <v>544</v>
      </c>
      <c r="I16" s="1" t="s">
        <v>226</v>
      </c>
      <c r="J16" s="1" t="s">
        <v>230</v>
      </c>
      <c r="K16" s="2"/>
      <c r="L16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6" t="str">
        <f>IF(AND(Tabelle2[[#This Row],[Mitarbeiterzahl]]&gt;=10,H16&lt;=1000),"OK","Fehler")</f>
        <v>OK</v>
      </c>
      <c r="N16" t="str">
        <f>IF(AND(Tabelle2[[#This Row],[Umsatzpotenzial]]&gt;=1000,Tabelle2[[#This Row],[Umsatzpotenzial]]&lt;=50000), "OK","Fehler")</f>
        <v>OK</v>
      </c>
    </row>
    <row r="17" spans="1:14" x14ac:dyDescent="0.2">
      <c r="A17" s="2" t="s">
        <v>25</v>
      </c>
      <c r="B17" s="2" t="s">
        <v>233</v>
      </c>
      <c r="C17" s="2" t="s">
        <v>219</v>
      </c>
      <c r="D17" s="5">
        <v>46170</v>
      </c>
      <c r="E17" s="2" t="s">
        <v>222</v>
      </c>
      <c r="F17" s="2">
        <v>45714</v>
      </c>
      <c r="G17" s="2" t="s">
        <v>223</v>
      </c>
      <c r="H17" s="2">
        <v>732</v>
      </c>
      <c r="I17" s="2" t="s">
        <v>227</v>
      </c>
      <c r="J17" s="2" t="s">
        <v>230</v>
      </c>
      <c r="K17" s="2"/>
      <c r="L17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7" t="str">
        <f>IF(AND(Tabelle2[[#This Row],[Mitarbeiterzahl]]&gt;=10,H17&lt;=1000),"OK","Fehler")</f>
        <v>OK</v>
      </c>
      <c r="N17" t="str">
        <f>IF(AND(Tabelle2[[#This Row],[Umsatzpotenzial]]&gt;=1000,Tabelle2[[#This Row],[Umsatzpotenzial]]&lt;=50000), "OK","Fehler")</f>
        <v>OK</v>
      </c>
    </row>
    <row r="18" spans="1:14" x14ac:dyDescent="0.2">
      <c r="A18" s="1" t="s">
        <v>26</v>
      </c>
      <c r="B18" s="1" t="s">
        <v>233</v>
      </c>
      <c r="C18" s="1" t="s">
        <v>218</v>
      </c>
      <c r="D18" s="4">
        <v>46255</v>
      </c>
      <c r="E18" s="1" t="s">
        <v>221</v>
      </c>
      <c r="F18" s="1">
        <v>44904</v>
      </c>
      <c r="G18" s="1" t="s">
        <v>246</v>
      </c>
      <c r="H18" s="1">
        <v>890</v>
      </c>
      <c r="I18" s="1" t="s">
        <v>227</v>
      </c>
      <c r="J18" s="1" t="s">
        <v>229</v>
      </c>
      <c r="K18" s="2"/>
      <c r="L18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8" t="str">
        <f>IF(AND(Tabelle2[[#This Row],[Mitarbeiterzahl]]&gt;=10,H18&lt;=1000),"OK","Fehler")</f>
        <v>OK</v>
      </c>
      <c r="N18" t="str">
        <f>IF(AND(Tabelle2[[#This Row],[Umsatzpotenzial]]&gt;=1000,Tabelle2[[#This Row],[Umsatzpotenzial]]&lt;=50000), "OK","Fehler")</f>
        <v>OK</v>
      </c>
    </row>
    <row r="19" spans="1:14" x14ac:dyDescent="0.2">
      <c r="A19" s="2" t="s">
        <v>27</v>
      </c>
      <c r="B19" s="2" t="s">
        <v>234</v>
      </c>
      <c r="C19" s="2" t="s">
        <v>219</v>
      </c>
      <c r="D19" s="5">
        <v>46190</v>
      </c>
      <c r="E19" s="2" t="s">
        <v>221</v>
      </c>
      <c r="F19" s="2">
        <v>22471</v>
      </c>
      <c r="G19" s="2" t="s">
        <v>246</v>
      </c>
      <c r="H19" s="2">
        <v>514</v>
      </c>
      <c r="I19" s="2" t="s">
        <v>227</v>
      </c>
      <c r="J19" s="2" t="s">
        <v>230</v>
      </c>
      <c r="K19" s="2"/>
      <c r="L19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9" t="str">
        <f>IF(AND(Tabelle2[[#This Row],[Mitarbeiterzahl]]&gt;=10,H19&lt;=1000),"OK","Fehler")</f>
        <v>OK</v>
      </c>
      <c r="N19" t="str">
        <f>IF(AND(Tabelle2[[#This Row],[Umsatzpotenzial]]&gt;=1000,Tabelle2[[#This Row],[Umsatzpotenzial]]&lt;=50000), "OK","Fehler")</f>
        <v>OK</v>
      </c>
    </row>
    <row r="20" spans="1:14" x14ac:dyDescent="0.2">
      <c r="A20" s="1" t="s">
        <v>28</v>
      </c>
      <c r="B20" s="1" t="s">
        <v>212</v>
      </c>
      <c r="C20" s="1" t="s">
        <v>217</v>
      </c>
      <c r="D20" s="4">
        <v>46084</v>
      </c>
      <c r="E20" s="1" t="s">
        <v>220</v>
      </c>
      <c r="F20" s="1">
        <v>31424</v>
      </c>
      <c r="G20" s="1" t="s">
        <v>228</v>
      </c>
      <c r="H20" s="1">
        <v>245</v>
      </c>
      <c r="I20" s="1" t="s">
        <v>226</v>
      </c>
      <c r="J20" s="1" t="s">
        <v>229</v>
      </c>
      <c r="K20" s="2"/>
      <c r="L20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20" t="str">
        <f>IF(AND(Tabelle2[[#This Row],[Mitarbeiterzahl]]&gt;=10,H20&lt;=1000),"OK","Fehler")</f>
        <v>OK</v>
      </c>
      <c r="N20" t="str">
        <f>IF(AND(Tabelle2[[#This Row],[Umsatzpotenzial]]&gt;=1000,Tabelle2[[#This Row],[Umsatzpotenzial]]&lt;=50000), "OK","Fehler")</f>
        <v>OK</v>
      </c>
    </row>
    <row r="21" spans="1:14" x14ac:dyDescent="0.2">
      <c r="A21" s="2" t="s">
        <v>29</v>
      </c>
      <c r="B21" s="2" t="s">
        <v>212</v>
      </c>
      <c r="C21" s="2" t="s">
        <v>217</v>
      </c>
      <c r="D21" s="5">
        <v>46226</v>
      </c>
      <c r="E21" s="2" t="s">
        <v>220</v>
      </c>
      <c r="F21" s="2">
        <v>14443</v>
      </c>
      <c r="G21" s="2" t="s">
        <v>223</v>
      </c>
      <c r="H21" s="2">
        <v>393</v>
      </c>
      <c r="I21" s="2" t="s">
        <v>226</v>
      </c>
      <c r="J21" s="2" t="s">
        <v>231</v>
      </c>
      <c r="K21" s="2"/>
      <c r="L21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21" t="str">
        <f>IF(AND(Tabelle2[[#This Row],[Mitarbeiterzahl]]&gt;=10,H21&lt;=1000),"OK","Fehler")</f>
        <v>OK</v>
      </c>
      <c r="N21" t="str">
        <f>IF(AND(Tabelle2[[#This Row],[Umsatzpotenzial]]&gt;=1000,Tabelle2[[#This Row],[Umsatzpotenzial]]&lt;=50000), "OK","Fehler")</f>
        <v>OK</v>
      </c>
    </row>
    <row r="22" spans="1:14" x14ac:dyDescent="0.2">
      <c r="A22" s="1" t="s">
        <v>30</v>
      </c>
      <c r="B22" s="1" t="s">
        <v>210</v>
      </c>
      <c r="C22" s="1" t="s">
        <v>216</v>
      </c>
      <c r="D22" s="4">
        <v>46236</v>
      </c>
      <c r="E22" s="1" t="s">
        <v>220</v>
      </c>
      <c r="F22" s="1">
        <v>10394</v>
      </c>
      <c r="G22" s="1" t="s">
        <v>225</v>
      </c>
      <c r="H22" s="1">
        <v>63</v>
      </c>
      <c r="I22" s="1" t="s">
        <v>226</v>
      </c>
      <c r="J22" s="1" t="s">
        <v>229</v>
      </c>
      <c r="K22" s="2"/>
      <c r="L22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22" t="str">
        <f>IF(AND(Tabelle2[[#This Row],[Mitarbeiterzahl]]&gt;=10,H22&lt;=1000),"OK","Fehler")</f>
        <v>OK</v>
      </c>
      <c r="N22" t="str">
        <f>IF(AND(Tabelle2[[#This Row],[Umsatzpotenzial]]&gt;=1000,Tabelle2[[#This Row],[Umsatzpotenzial]]&lt;=50000), "OK","Fehler")</f>
        <v>OK</v>
      </c>
    </row>
    <row r="23" spans="1:14" x14ac:dyDescent="0.2">
      <c r="A23" s="2" t="s">
        <v>31</v>
      </c>
      <c r="B23" s="2" t="s">
        <v>233</v>
      </c>
      <c r="C23" s="2" t="s">
        <v>215</v>
      </c>
      <c r="D23" s="5">
        <v>46250</v>
      </c>
      <c r="E23" s="2" t="s">
        <v>220</v>
      </c>
      <c r="F23" s="2">
        <v>37139</v>
      </c>
      <c r="G23" s="2" t="s">
        <v>223</v>
      </c>
      <c r="H23" s="2">
        <v>816</v>
      </c>
      <c r="I23" s="2" t="s">
        <v>226</v>
      </c>
      <c r="J23" s="2" t="s">
        <v>229</v>
      </c>
      <c r="K23" s="2"/>
      <c r="L23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23" t="str">
        <f>IF(AND(Tabelle2[[#This Row],[Mitarbeiterzahl]]&gt;=10,H23&lt;=1000),"OK","Fehler")</f>
        <v>OK</v>
      </c>
      <c r="N23" t="str">
        <f>IF(AND(Tabelle2[[#This Row],[Umsatzpotenzial]]&gt;=1000,Tabelle2[[#This Row],[Umsatzpotenzial]]&lt;=50000), "OK","Fehler")</f>
        <v>OK</v>
      </c>
    </row>
    <row r="24" spans="1:14" x14ac:dyDescent="0.2">
      <c r="A24" s="1" t="s">
        <v>32</v>
      </c>
      <c r="B24" s="1" t="s">
        <v>234</v>
      </c>
      <c r="C24" s="1" t="s">
        <v>219</v>
      </c>
      <c r="D24" s="4">
        <v>46088</v>
      </c>
      <c r="E24" s="1" t="s">
        <v>220</v>
      </c>
      <c r="F24" s="1">
        <v>10415</v>
      </c>
      <c r="G24" s="1" t="s">
        <v>224</v>
      </c>
      <c r="H24" s="1">
        <v>448</v>
      </c>
      <c r="I24" s="1" t="s">
        <v>226</v>
      </c>
      <c r="J24" s="1" t="s">
        <v>232</v>
      </c>
      <c r="K24" s="2"/>
      <c r="L24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24" t="str">
        <f>IF(AND(Tabelle2[[#This Row],[Mitarbeiterzahl]]&gt;=10,H24&lt;=1000),"OK","Fehler")</f>
        <v>OK</v>
      </c>
      <c r="N24" t="str">
        <f>IF(AND(Tabelle2[[#This Row],[Umsatzpotenzial]]&gt;=1000,Tabelle2[[#This Row],[Umsatzpotenzial]]&lt;=50000), "OK","Fehler")</f>
        <v>OK</v>
      </c>
    </row>
    <row r="25" spans="1:14" x14ac:dyDescent="0.2">
      <c r="A25" s="2" t="s">
        <v>33</v>
      </c>
      <c r="B25" s="2" t="s">
        <v>210</v>
      </c>
      <c r="C25" s="2" t="s">
        <v>216</v>
      </c>
      <c r="D25" s="5">
        <v>46179</v>
      </c>
      <c r="E25" s="2" t="s">
        <v>220</v>
      </c>
      <c r="F25" s="2">
        <v>18794</v>
      </c>
      <c r="G25" s="2" t="s">
        <v>225</v>
      </c>
      <c r="H25" s="2">
        <v>979</v>
      </c>
      <c r="I25" s="2" t="s">
        <v>226</v>
      </c>
      <c r="J25" s="2" t="s">
        <v>231</v>
      </c>
      <c r="K25" s="2"/>
      <c r="L25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25" t="str">
        <f>IF(AND(Tabelle2[[#This Row],[Mitarbeiterzahl]]&gt;=10,H25&lt;=1000),"OK","Fehler")</f>
        <v>OK</v>
      </c>
      <c r="N25" t="str">
        <f>IF(AND(Tabelle2[[#This Row],[Umsatzpotenzial]]&gt;=1000,Tabelle2[[#This Row],[Umsatzpotenzial]]&lt;=50000), "OK","Fehler")</f>
        <v>OK</v>
      </c>
    </row>
    <row r="26" spans="1:14" x14ac:dyDescent="0.2">
      <c r="A26" s="1" t="s">
        <v>34</v>
      </c>
      <c r="B26" s="1" t="s">
        <v>210</v>
      </c>
      <c r="C26" s="1" t="s">
        <v>219</v>
      </c>
      <c r="D26" s="4">
        <v>46170</v>
      </c>
      <c r="E26" s="1" t="s">
        <v>220</v>
      </c>
      <c r="F26" s="1">
        <v>1223</v>
      </c>
      <c r="G26" s="1" t="s">
        <v>225</v>
      </c>
      <c r="H26" s="1">
        <v>854</v>
      </c>
      <c r="I26" s="1" t="s">
        <v>226</v>
      </c>
      <c r="J26" s="1" t="s">
        <v>230</v>
      </c>
      <c r="K26" s="2"/>
      <c r="L26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26" t="str">
        <f>IF(AND(Tabelle2[[#This Row],[Mitarbeiterzahl]]&gt;=10,H26&lt;=1000),"OK","Fehler")</f>
        <v>OK</v>
      </c>
      <c r="N26" t="str">
        <f>IF(AND(Tabelle2[[#This Row],[Umsatzpotenzial]]&gt;=1000,Tabelle2[[#This Row],[Umsatzpotenzial]]&lt;=50000), "OK","Fehler")</f>
        <v>OK</v>
      </c>
    </row>
    <row r="27" spans="1:14" x14ac:dyDescent="0.2">
      <c r="A27" s="2" t="s">
        <v>35</v>
      </c>
      <c r="B27" s="2" t="s">
        <v>212</v>
      </c>
      <c r="C27" s="2" t="s">
        <v>218</v>
      </c>
      <c r="D27" s="5">
        <v>46125</v>
      </c>
      <c r="E27" s="2" t="s">
        <v>221</v>
      </c>
      <c r="F27" s="2">
        <v>25240</v>
      </c>
      <c r="G27" s="2" t="s">
        <v>225</v>
      </c>
      <c r="H27" s="2">
        <v>953</v>
      </c>
      <c r="I27" s="2" t="s">
        <v>227</v>
      </c>
      <c r="J27" s="2" t="s">
        <v>231</v>
      </c>
      <c r="K27" s="2"/>
      <c r="L27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27" t="str">
        <f>IF(AND(Tabelle2[[#This Row],[Mitarbeiterzahl]]&gt;=10,H27&lt;=1000),"OK","Fehler")</f>
        <v>OK</v>
      </c>
      <c r="N27" t="str">
        <f>IF(AND(Tabelle2[[#This Row],[Umsatzpotenzial]]&gt;=1000,Tabelle2[[#This Row],[Umsatzpotenzial]]&lt;=50000), "OK","Fehler")</f>
        <v>OK</v>
      </c>
    </row>
    <row r="28" spans="1:14" x14ac:dyDescent="0.2">
      <c r="A28" s="1" t="s">
        <v>36</v>
      </c>
      <c r="B28" s="1" t="s">
        <v>210</v>
      </c>
      <c r="C28" s="1" t="s">
        <v>218</v>
      </c>
      <c r="D28" s="4">
        <v>46091</v>
      </c>
      <c r="E28" s="1" t="s">
        <v>221</v>
      </c>
      <c r="F28" s="1">
        <v>27424</v>
      </c>
      <c r="G28" s="1" t="s">
        <v>225</v>
      </c>
      <c r="H28" s="1">
        <v>866</v>
      </c>
      <c r="I28" s="1" t="s">
        <v>227</v>
      </c>
      <c r="J28" s="1" t="s">
        <v>231</v>
      </c>
      <c r="K28" s="2"/>
      <c r="L28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28" t="str">
        <f>IF(AND(Tabelle2[[#This Row],[Mitarbeiterzahl]]&gt;=10,H28&lt;=1000),"OK","Fehler")</f>
        <v>OK</v>
      </c>
      <c r="N28" t="str">
        <f>IF(AND(Tabelle2[[#This Row],[Umsatzpotenzial]]&gt;=1000,Tabelle2[[#This Row],[Umsatzpotenzial]]&lt;=50000), "OK","Fehler")</f>
        <v>OK</v>
      </c>
    </row>
    <row r="29" spans="1:14" x14ac:dyDescent="0.2">
      <c r="A29" s="2" t="s">
        <v>37</v>
      </c>
      <c r="B29" s="2" t="s">
        <v>210</v>
      </c>
      <c r="C29" s="2" t="s">
        <v>215</v>
      </c>
      <c r="D29" s="5">
        <v>46182</v>
      </c>
      <c r="E29" s="2" t="s">
        <v>221</v>
      </c>
      <c r="F29" s="2">
        <v>19535</v>
      </c>
      <c r="G29" s="2" t="s">
        <v>225</v>
      </c>
      <c r="H29" s="2">
        <v>422</v>
      </c>
      <c r="I29" s="2" t="s">
        <v>227</v>
      </c>
      <c r="J29" s="2" t="s">
        <v>231</v>
      </c>
      <c r="K29" s="2"/>
      <c r="L29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29" t="str">
        <f>IF(AND(Tabelle2[[#This Row],[Mitarbeiterzahl]]&gt;=10,H29&lt;=1000),"OK","Fehler")</f>
        <v>OK</v>
      </c>
      <c r="N29" t="str">
        <f>IF(AND(Tabelle2[[#This Row],[Umsatzpotenzial]]&gt;=1000,Tabelle2[[#This Row],[Umsatzpotenzial]]&lt;=50000), "OK","Fehler")</f>
        <v>OK</v>
      </c>
    </row>
    <row r="30" spans="1:14" x14ac:dyDescent="0.2">
      <c r="A30" s="1" t="s">
        <v>38</v>
      </c>
      <c r="B30" s="1" t="s">
        <v>212</v>
      </c>
      <c r="C30" s="1" t="s">
        <v>214</v>
      </c>
      <c r="D30" s="4">
        <v>46244</v>
      </c>
      <c r="E30" s="1" t="s">
        <v>220</v>
      </c>
      <c r="F30" s="1">
        <v>33467</v>
      </c>
      <c r="G30" s="1" t="s">
        <v>225</v>
      </c>
      <c r="H30" s="1">
        <v>235</v>
      </c>
      <c r="I30" s="1" t="s">
        <v>226</v>
      </c>
      <c r="J30" s="1" t="s">
        <v>231</v>
      </c>
      <c r="K30" s="2"/>
      <c r="L30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30" t="str">
        <f>IF(AND(Tabelle2[[#This Row],[Mitarbeiterzahl]]&gt;=10,H30&lt;=1000),"OK","Fehler")</f>
        <v>OK</v>
      </c>
      <c r="N30" t="str">
        <f>IF(AND(Tabelle2[[#This Row],[Umsatzpotenzial]]&gt;=1000,Tabelle2[[#This Row],[Umsatzpotenzial]]&lt;=50000), "OK","Fehler")</f>
        <v>OK</v>
      </c>
    </row>
    <row r="31" spans="1:14" x14ac:dyDescent="0.2">
      <c r="A31" s="2" t="s">
        <v>39</v>
      </c>
      <c r="B31" s="2" t="s">
        <v>212</v>
      </c>
      <c r="C31" s="2" t="s">
        <v>218</v>
      </c>
      <c r="D31" s="5">
        <v>46249</v>
      </c>
      <c r="E31" s="2" t="s">
        <v>220</v>
      </c>
      <c r="F31" s="2">
        <v>30398</v>
      </c>
      <c r="G31" s="2" t="s">
        <v>228</v>
      </c>
      <c r="H31" s="2">
        <v>386</v>
      </c>
      <c r="I31" s="2" t="s">
        <v>226</v>
      </c>
      <c r="J31" s="2" t="s">
        <v>230</v>
      </c>
      <c r="K31" s="2"/>
      <c r="L31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31" t="str">
        <f>IF(AND(Tabelle2[[#This Row],[Mitarbeiterzahl]]&gt;=10,H31&lt;=1000),"OK","Fehler")</f>
        <v>OK</v>
      </c>
      <c r="N31" t="str">
        <f>IF(AND(Tabelle2[[#This Row],[Umsatzpotenzial]]&gt;=1000,Tabelle2[[#This Row],[Umsatzpotenzial]]&lt;=50000), "OK","Fehler")</f>
        <v>OK</v>
      </c>
    </row>
    <row r="32" spans="1:14" x14ac:dyDescent="0.2">
      <c r="A32" s="1" t="s">
        <v>40</v>
      </c>
      <c r="B32" s="1" t="s">
        <v>233</v>
      </c>
      <c r="C32" s="1" t="s">
        <v>217</v>
      </c>
      <c r="D32" s="4">
        <v>46145</v>
      </c>
      <c r="E32" s="1" t="s">
        <v>220</v>
      </c>
      <c r="F32" s="1">
        <v>40278</v>
      </c>
      <c r="G32" s="1" t="s">
        <v>224</v>
      </c>
      <c r="H32" s="1">
        <v>900</v>
      </c>
      <c r="I32" s="1" t="s">
        <v>226</v>
      </c>
      <c r="J32" s="1" t="s">
        <v>229</v>
      </c>
      <c r="K32" s="2"/>
      <c r="L32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32" t="str">
        <f>IF(AND(Tabelle2[[#This Row],[Mitarbeiterzahl]]&gt;=10,H32&lt;=1000),"OK","Fehler")</f>
        <v>OK</v>
      </c>
      <c r="N32" t="str">
        <f>IF(AND(Tabelle2[[#This Row],[Umsatzpotenzial]]&gt;=1000,Tabelle2[[#This Row],[Umsatzpotenzial]]&lt;=50000), "OK","Fehler")</f>
        <v>OK</v>
      </c>
    </row>
    <row r="33" spans="1:14" x14ac:dyDescent="0.2">
      <c r="A33" s="2" t="s">
        <v>41</v>
      </c>
      <c r="B33" s="2" t="s">
        <v>212</v>
      </c>
      <c r="C33" s="2" t="s">
        <v>218</v>
      </c>
      <c r="D33" s="5">
        <v>46214</v>
      </c>
      <c r="E33" s="2" t="s">
        <v>221</v>
      </c>
      <c r="F33" s="2">
        <v>31424</v>
      </c>
      <c r="G33" s="2" t="s">
        <v>225</v>
      </c>
      <c r="H33" s="2">
        <v>299</v>
      </c>
      <c r="I33" s="2" t="s">
        <v>227</v>
      </c>
      <c r="J33" s="2" t="s">
        <v>232</v>
      </c>
      <c r="K33" s="2"/>
      <c r="L33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33" t="str">
        <f>IF(AND(Tabelle2[[#This Row],[Mitarbeiterzahl]]&gt;=10,H33&lt;=1000),"OK","Fehler")</f>
        <v>OK</v>
      </c>
      <c r="N33" t="str">
        <f>IF(AND(Tabelle2[[#This Row],[Umsatzpotenzial]]&gt;=1000,Tabelle2[[#This Row],[Umsatzpotenzial]]&lt;=50000), "OK","Fehler")</f>
        <v>OK</v>
      </c>
    </row>
    <row r="34" spans="1:14" x14ac:dyDescent="0.2">
      <c r="A34" s="1" t="s">
        <v>42</v>
      </c>
      <c r="B34" s="1" t="s">
        <v>212</v>
      </c>
      <c r="C34" s="1" t="s">
        <v>214</v>
      </c>
      <c r="D34" s="4">
        <v>46169</v>
      </c>
      <c r="E34" s="1" t="s">
        <v>221</v>
      </c>
      <c r="F34" s="1">
        <v>43100</v>
      </c>
      <c r="G34" s="1" t="s">
        <v>246</v>
      </c>
      <c r="H34" s="1">
        <v>525</v>
      </c>
      <c r="I34" s="1" t="s">
        <v>227</v>
      </c>
      <c r="J34" s="1" t="s">
        <v>232</v>
      </c>
      <c r="K34" s="2"/>
      <c r="L34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34" t="str">
        <f>IF(AND(Tabelle2[[#This Row],[Mitarbeiterzahl]]&gt;=10,H34&lt;=1000),"OK","Fehler")</f>
        <v>OK</v>
      </c>
      <c r="N34" t="str">
        <f>IF(AND(Tabelle2[[#This Row],[Umsatzpotenzial]]&gt;=1000,Tabelle2[[#This Row],[Umsatzpotenzial]]&lt;=50000), "OK","Fehler")</f>
        <v>OK</v>
      </c>
    </row>
    <row r="35" spans="1:14" x14ac:dyDescent="0.2">
      <c r="A35" s="2" t="s">
        <v>43</v>
      </c>
      <c r="B35" s="2" t="s">
        <v>211</v>
      </c>
      <c r="C35" s="2" t="s">
        <v>216</v>
      </c>
      <c r="D35" s="5">
        <v>46150</v>
      </c>
      <c r="E35" s="2" t="s">
        <v>220</v>
      </c>
      <c r="F35" s="2">
        <v>37594</v>
      </c>
      <c r="G35" s="2" t="s">
        <v>246</v>
      </c>
      <c r="H35" s="2">
        <v>456</v>
      </c>
      <c r="I35" s="2" t="s">
        <v>226</v>
      </c>
      <c r="J35" s="2" t="s">
        <v>231</v>
      </c>
      <c r="K35" s="2"/>
      <c r="L35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35" t="str">
        <f>IF(AND(Tabelle2[[#This Row],[Mitarbeiterzahl]]&gt;=10,H35&lt;=1000),"OK","Fehler")</f>
        <v>OK</v>
      </c>
      <c r="N35" t="str">
        <f>IF(AND(Tabelle2[[#This Row],[Umsatzpotenzial]]&gt;=1000,Tabelle2[[#This Row],[Umsatzpotenzial]]&lt;=50000), "OK","Fehler")</f>
        <v>OK</v>
      </c>
    </row>
    <row r="36" spans="1:14" x14ac:dyDescent="0.2">
      <c r="A36" s="1" t="s">
        <v>44</v>
      </c>
      <c r="B36" s="1" t="s">
        <v>234</v>
      </c>
      <c r="C36" s="1" t="s">
        <v>217</v>
      </c>
      <c r="D36" s="4">
        <v>46212</v>
      </c>
      <c r="E36" s="1" t="s">
        <v>222</v>
      </c>
      <c r="F36" s="1">
        <v>48928</v>
      </c>
      <c r="G36" s="1" t="s">
        <v>225</v>
      </c>
      <c r="H36" s="1">
        <v>863</v>
      </c>
      <c r="I36" s="1" t="s">
        <v>227</v>
      </c>
      <c r="J36" s="1" t="s">
        <v>232</v>
      </c>
      <c r="K36" s="2"/>
      <c r="L36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36" t="str">
        <f>IF(AND(Tabelle2[[#This Row],[Mitarbeiterzahl]]&gt;=10,H36&lt;=1000),"OK","Fehler")</f>
        <v>OK</v>
      </c>
      <c r="N36" t="str">
        <f>IF(AND(Tabelle2[[#This Row],[Umsatzpotenzial]]&gt;=1000,Tabelle2[[#This Row],[Umsatzpotenzial]]&lt;=50000), "OK","Fehler")</f>
        <v>OK</v>
      </c>
    </row>
    <row r="37" spans="1:14" x14ac:dyDescent="0.2">
      <c r="A37" s="2" t="s">
        <v>45</v>
      </c>
      <c r="B37" s="2" t="s">
        <v>210</v>
      </c>
      <c r="C37" s="2" t="s">
        <v>215</v>
      </c>
      <c r="D37" s="5">
        <v>46225</v>
      </c>
      <c r="E37" s="2" t="s">
        <v>221</v>
      </c>
      <c r="F37" s="2">
        <v>25401</v>
      </c>
      <c r="G37" s="2" t="s">
        <v>225</v>
      </c>
      <c r="H37" s="2">
        <v>692</v>
      </c>
      <c r="I37" s="2" t="s">
        <v>227</v>
      </c>
      <c r="J37" s="2" t="s">
        <v>230</v>
      </c>
      <c r="K37" s="2"/>
      <c r="L37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37" t="str">
        <f>IF(AND(Tabelle2[[#This Row],[Mitarbeiterzahl]]&gt;=10,H37&lt;=1000),"OK","Fehler")</f>
        <v>OK</v>
      </c>
      <c r="N37" t="str">
        <f>IF(AND(Tabelle2[[#This Row],[Umsatzpotenzial]]&gt;=1000,Tabelle2[[#This Row],[Umsatzpotenzial]]&lt;=50000), "OK","Fehler")</f>
        <v>OK</v>
      </c>
    </row>
    <row r="38" spans="1:14" x14ac:dyDescent="0.2">
      <c r="A38" s="1" t="s">
        <v>46</v>
      </c>
      <c r="B38" s="1" t="s">
        <v>210</v>
      </c>
      <c r="C38" s="1" t="s">
        <v>214</v>
      </c>
      <c r="D38" s="4">
        <v>46204</v>
      </c>
      <c r="E38" s="1" t="s">
        <v>222</v>
      </c>
      <c r="F38" s="1">
        <v>11486</v>
      </c>
      <c r="G38" s="1" t="s">
        <v>224</v>
      </c>
      <c r="H38" s="1">
        <v>820</v>
      </c>
      <c r="I38" s="1" t="s">
        <v>227</v>
      </c>
      <c r="J38" s="1" t="s">
        <v>229</v>
      </c>
      <c r="K38" s="2"/>
      <c r="L38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38" t="str">
        <f>IF(AND(Tabelle2[[#This Row],[Mitarbeiterzahl]]&gt;=10,H38&lt;=1000),"OK","Fehler")</f>
        <v>OK</v>
      </c>
      <c r="N38" t="str">
        <f>IF(AND(Tabelle2[[#This Row],[Umsatzpotenzial]]&gt;=1000,Tabelle2[[#This Row],[Umsatzpotenzial]]&lt;=50000), "OK","Fehler")</f>
        <v>OK</v>
      </c>
    </row>
    <row r="39" spans="1:14" x14ac:dyDescent="0.2">
      <c r="A39" s="2" t="s">
        <v>47</v>
      </c>
      <c r="B39" s="2" t="s">
        <v>233</v>
      </c>
      <c r="C39" s="2" t="s">
        <v>217</v>
      </c>
      <c r="D39" s="5">
        <v>46083</v>
      </c>
      <c r="E39" s="2" t="s">
        <v>220</v>
      </c>
      <c r="F39" s="2">
        <v>44712</v>
      </c>
      <c r="G39" s="2" t="s">
        <v>246</v>
      </c>
      <c r="H39" s="2">
        <v>300</v>
      </c>
      <c r="I39" s="2" t="s">
        <v>226</v>
      </c>
      <c r="J39" s="2" t="s">
        <v>231</v>
      </c>
      <c r="K39" s="2"/>
      <c r="L39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39" t="str">
        <f>IF(AND(Tabelle2[[#This Row],[Mitarbeiterzahl]]&gt;=10,H39&lt;=1000),"OK","Fehler")</f>
        <v>OK</v>
      </c>
      <c r="N39" t="str">
        <f>IF(AND(Tabelle2[[#This Row],[Umsatzpotenzial]]&gt;=1000,Tabelle2[[#This Row],[Umsatzpotenzial]]&lt;=50000), "OK","Fehler")</f>
        <v>OK</v>
      </c>
    </row>
    <row r="40" spans="1:14" x14ac:dyDescent="0.2">
      <c r="A40" s="1" t="s">
        <v>48</v>
      </c>
      <c r="B40" s="1" t="s">
        <v>212</v>
      </c>
      <c r="C40" s="1" t="s">
        <v>217</v>
      </c>
      <c r="D40" s="4">
        <v>46117</v>
      </c>
      <c r="E40" s="1" t="s">
        <v>222</v>
      </c>
      <c r="F40" s="1">
        <v>15948</v>
      </c>
      <c r="G40" s="1" t="s">
        <v>225</v>
      </c>
      <c r="H40" s="1">
        <v>942</v>
      </c>
      <c r="I40" s="1" t="s">
        <v>227</v>
      </c>
      <c r="J40" s="1" t="s">
        <v>229</v>
      </c>
      <c r="K40" s="2"/>
      <c r="L40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40" t="str">
        <f>IF(AND(Tabelle2[[#This Row],[Mitarbeiterzahl]]&gt;=10,H40&lt;=1000),"OK","Fehler")</f>
        <v>OK</v>
      </c>
      <c r="N40" t="str">
        <f>IF(AND(Tabelle2[[#This Row],[Umsatzpotenzial]]&gt;=1000,Tabelle2[[#This Row],[Umsatzpotenzial]]&lt;=50000), "OK","Fehler")</f>
        <v>OK</v>
      </c>
    </row>
    <row r="41" spans="1:14" x14ac:dyDescent="0.2">
      <c r="A41" s="2" t="s">
        <v>49</v>
      </c>
      <c r="B41" s="2" t="s">
        <v>212</v>
      </c>
      <c r="C41" s="2" t="s">
        <v>219</v>
      </c>
      <c r="D41" s="5">
        <v>46255</v>
      </c>
      <c r="E41" s="2" t="s">
        <v>220</v>
      </c>
      <c r="F41" s="2">
        <v>12156</v>
      </c>
      <c r="G41" s="2" t="s">
        <v>225</v>
      </c>
      <c r="H41" s="2">
        <v>496</v>
      </c>
      <c r="I41" s="2" t="s">
        <v>226</v>
      </c>
      <c r="J41" s="2" t="s">
        <v>231</v>
      </c>
      <c r="K41" s="2"/>
      <c r="L41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41" t="str">
        <f>IF(AND(Tabelle2[[#This Row],[Mitarbeiterzahl]]&gt;=10,H41&lt;=1000),"OK","Fehler")</f>
        <v>OK</v>
      </c>
      <c r="N41" t="str">
        <f>IF(AND(Tabelle2[[#This Row],[Umsatzpotenzial]]&gt;=1000,Tabelle2[[#This Row],[Umsatzpotenzial]]&lt;=50000), "OK","Fehler")</f>
        <v>OK</v>
      </c>
    </row>
    <row r="42" spans="1:14" x14ac:dyDescent="0.2">
      <c r="A42" s="1" t="s">
        <v>50</v>
      </c>
      <c r="B42" s="1" t="s">
        <v>210</v>
      </c>
      <c r="C42" s="1" t="s">
        <v>219</v>
      </c>
      <c r="D42" s="4">
        <v>46225</v>
      </c>
      <c r="E42" s="1" t="s">
        <v>221</v>
      </c>
      <c r="F42" s="1">
        <v>30426</v>
      </c>
      <c r="G42" s="1" t="s">
        <v>246</v>
      </c>
      <c r="H42" s="1">
        <v>640</v>
      </c>
      <c r="I42" s="1" t="s">
        <v>227</v>
      </c>
      <c r="J42" s="1" t="s">
        <v>230</v>
      </c>
      <c r="K42" s="2"/>
      <c r="L42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42" t="str">
        <f>IF(AND(Tabelle2[[#This Row],[Mitarbeiterzahl]]&gt;=10,H42&lt;=1000),"OK","Fehler")</f>
        <v>OK</v>
      </c>
      <c r="N42" t="str">
        <f>IF(AND(Tabelle2[[#This Row],[Umsatzpotenzial]]&gt;=1000,Tabelle2[[#This Row],[Umsatzpotenzial]]&lt;=50000), "OK","Fehler")</f>
        <v>OK</v>
      </c>
    </row>
    <row r="43" spans="1:14" x14ac:dyDescent="0.2">
      <c r="A43" s="2" t="s">
        <v>51</v>
      </c>
      <c r="B43" s="2" t="s">
        <v>212</v>
      </c>
      <c r="C43" s="2" t="s">
        <v>215</v>
      </c>
      <c r="D43" s="5">
        <v>46188</v>
      </c>
      <c r="E43" s="2" t="s">
        <v>221</v>
      </c>
      <c r="F43" s="2">
        <v>39328</v>
      </c>
      <c r="G43" s="2" t="s">
        <v>223</v>
      </c>
      <c r="H43" s="2">
        <v>846</v>
      </c>
      <c r="I43" s="2" t="s">
        <v>227</v>
      </c>
      <c r="J43" s="2" t="s">
        <v>231</v>
      </c>
      <c r="K43" s="2"/>
      <c r="L43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43" t="str">
        <f>IF(AND(Tabelle2[[#This Row],[Mitarbeiterzahl]]&gt;=10,H43&lt;=1000),"OK","Fehler")</f>
        <v>OK</v>
      </c>
      <c r="N43" t="str">
        <f>IF(AND(Tabelle2[[#This Row],[Umsatzpotenzial]]&gt;=1000,Tabelle2[[#This Row],[Umsatzpotenzial]]&lt;=50000), "OK","Fehler")</f>
        <v>OK</v>
      </c>
    </row>
    <row r="44" spans="1:14" x14ac:dyDescent="0.2">
      <c r="A44" s="1" t="s">
        <v>52</v>
      </c>
      <c r="B44" s="1" t="s">
        <v>234</v>
      </c>
      <c r="C44" s="1" t="s">
        <v>217</v>
      </c>
      <c r="D44" s="4">
        <v>46129</v>
      </c>
      <c r="E44" s="1" t="s">
        <v>220</v>
      </c>
      <c r="F44" s="1">
        <v>46667</v>
      </c>
      <c r="G44" s="1" t="s">
        <v>223</v>
      </c>
      <c r="H44" s="1">
        <v>88</v>
      </c>
      <c r="I44" s="1" t="s">
        <v>226</v>
      </c>
      <c r="J44" s="1" t="s">
        <v>229</v>
      </c>
      <c r="K44" s="2"/>
      <c r="L44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44" t="str">
        <f>IF(AND(Tabelle2[[#This Row],[Mitarbeiterzahl]]&gt;=10,H44&lt;=1000),"OK","Fehler")</f>
        <v>OK</v>
      </c>
      <c r="N44" t="str">
        <f>IF(AND(Tabelle2[[#This Row],[Umsatzpotenzial]]&gt;=1000,Tabelle2[[#This Row],[Umsatzpotenzial]]&lt;=50000), "OK","Fehler")</f>
        <v>OK</v>
      </c>
    </row>
    <row r="45" spans="1:14" x14ac:dyDescent="0.2">
      <c r="A45" s="2" t="s">
        <v>53</v>
      </c>
      <c r="B45" s="2" t="s">
        <v>211</v>
      </c>
      <c r="C45" s="2" t="s">
        <v>216</v>
      </c>
      <c r="D45" s="5">
        <v>46250</v>
      </c>
      <c r="E45" s="2" t="s">
        <v>220</v>
      </c>
      <c r="F45" s="2">
        <v>34447</v>
      </c>
      <c r="G45" s="2" t="s">
        <v>228</v>
      </c>
      <c r="H45" s="2">
        <v>987</v>
      </c>
      <c r="I45" s="2" t="s">
        <v>226</v>
      </c>
      <c r="J45" s="2" t="s">
        <v>231</v>
      </c>
      <c r="K45" s="2"/>
      <c r="L45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45" t="str">
        <f>IF(AND(Tabelle2[[#This Row],[Mitarbeiterzahl]]&gt;=10,H45&lt;=1000),"OK","Fehler")</f>
        <v>OK</v>
      </c>
      <c r="N45" t="str">
        <f>IF(AND(Tabelle2[[#This Row],[Umsatzpotenzial]]&gt;=1000,Tabelle2[[#This Row],[Umsatzpotenzial]]&lt;=50000), "OK","Fehler")</f>
        <v>OK</v>
      </c>
    </row>
    <row r="46" spans="1:14" x14ac:dyDescent="0.2">
      <c r="A46" s="1" t="s">
        <v>54</v>
      </c>
      <c r="B46" s="1" t="s">
        <v>212</v>
      </c>
      <c r="C46" s="1" t="s">
        <v>214</v>
      </c>
      <c r="D46" s="4">
        <v>46106</v>
      </c>
      <c r="E46" s="1" t="s">
        <v>220</v>
      </c>
      <c r="F46" s="1">
        <v>26781</v>
      </c>
      <c r="G46" s="1" t="s">
        <v>225</v>
      </c>
      <c r="H46" s="1">
        <v>796</v>
      </c>
      <c r="I46" s="1" t="s">
        <v>226</v>
      </c>
      <c r="J46" s="1" t="s">
        <v>231</v>
      </c>
      <c r="K46" s="2"/>
      <c r="L46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46" t="str">
        <f>IF(AND(Tabelle2[[#This Row],[Mitarbeiterzahl]]&gt;=10,H46&lt;=1000),"OK","Fehler")</f>
        <v>OK</v>
      </c>
      <c r="N46" t="str">
        <f>IF(AND(Tabelle2[[#This Row],[Umsatzpotenzial]]&gt;=1000,Tabelle2[[#This Row],[Umsatzpotenzial]]&lt;=50000), "OK","Fehler")</f>
        <v>OK</v>
      </c>
    </row>
    <row r="47" spans="1:14" x14ac:dyDescent="0.2">
      <c r="A47" s="2" t="s">
        <v>55</v>
      </c>
      <c r="B47" s="2" t="s">
        <v>212</v>
      </c>
      <c r="C47" s="2" t="s">
        <v>216</v>
      </c>
      <c r="D47" s="5">
        <v>46198</v>
      </c>
      <c r="E47" s="2" t="s">
        <v>221</v>
      </c>
      <c r="F47" s="2">
        <v>33327</v>
      </c>
      <c r="G47" s="2" t="s">
        <v>225</v>
      </c>
      <c r="H47" s="2">
        <v>642</v>
      </c>
      <c r="I47" s="2" t="s">
        <v>227</v>
      </c>
      <c r="J47" s="2" t="s">
        <v>231</v>
      </c>
      <c r="K47" s="2"/>
      <c r="L47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47" t="str">
        <f>IF(AND(Tabelle2[[#This Row],[Mitarbeiterzahl]]&gt;=10,H47&lt;=1000),"OK","Fehler")</f>
        <v>OK</v>
      </c>
      <c r="N47" t="str">
        <f>IF(AND(Tabelle2[[#This Row],[Umsatzpotenzial]]&gt;=1000,Tabelle2[[#This Row],[Umsatzpotenzial]]&lt;=50000), "OK","Fehler")</f>
        <v>OK</v>
      </c>
    </row>
    <row r="48" spans="1:14" x14ac:dyDescent="0.2">
      <c r="A48" s="1" t="s">
        <v>56</v>
      </c>
      <c r="B48" s="1" t="s">
        <v>210</v>
      </c>
      <c r="C48" s="1" t="s">
        <v>218</v>
      </c>
      <c r="D48" s="4">
        <v>46141</v>
      </c>
      <c r="E48" s="1" t="s">
        <v>222</v>
      </c>
      <c r="F48" s="1">
        <v>35575</v>
      </c>
      <c r="G48" s="1" t="s">
        <v>246</v>
      </c>
      <c r="H48" s="1">
        <v>728</v>
      </c>
      <c r="I48" s="1" t="s">
        <v>227</v>
      </c>
      <c r="J48" s="1" t="s">
        <v>229</v>
      </c>
      <c r="K48" s="2"/>
      <c r="L48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48" t="str">
        <f>IF(AND(Tabelle2[[#This Row],[Mitarbeiterzahl]]&gt;=10,H48&lt;=1000),"OK","Fehler")</f>
        <v>OK</v>
      </c>
      <c r="N48" t="str">
        <f>IF(AND(Tabelle2[[#This Row],[Umsatzpotenzial]]&gt;=1000,Tabelle2[[#This Row],[Umsatzpotenzial]]&lt;=50000), "OK","Fehler")</f>
        <v>OK</v>
      </c>
    </row>
    <row r="49" spans="1:14" x14ac:dyDescent="0.2">
      <c r="A49" s="2" t="s">
        <v>57</v>
      </c>
      <c r="B49" s="2" t="s">
        <v>211</v>
      </c>
      <c r="C49" s="2" t="s">
        <v>216</v>
      </c>
      <c r="D49" s="5">
        <v>46143</v>
      </c>
      <c r="E49" s="2" t="s">
        <v>220</v>
      </c>
      <c r="F49" s="2">
        <v>12478</v>
      </c>
      <c r="G49" s="2" t="s">
        <v>223</v>
      </c>
      <c r="H49" s="2">
        <v>885</v>
      </c>
      <c r="I49" s="2" t="s">
        <v>226</v>
      </c>
      <c r="J49" s="2" t="s">
        <v>232</v>
      </c>
      <c r="K49" s="2"/>
      <c r="L49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49" t="str">
        <f>IF(AND(Tabelle2[[#This Row],[Mitarbeiterzahl]]&gt;=10,H49&lt;=1000),"OK","Fehler")</f>
        <v>OK</v>
      </c>
      <c r="N49" t="str">
        <f>IF(AND(Tabelle2[[#This Row],[Umsatzpotenzial]]&gt;=1000,Tabelle2[[#This Row],[Umsatzpotenzial]]&lt;=50000), "OK","Fehler")</f>
        <v>OK</v>
      </c>
    </row>
    <row r="50" spans="1:14" x14ac:dyDescent="0.2">
      <c r="A50" s="1" t="s">
        <v>58</v>
      </c>
      <c r="B50" s="1" t="s">
        <v>212</v>
      </c>
      <c r="C50" s="1" t="s">
        <v>219</v>
      </c>
      <c r="D50" s="4">
        <v>46112</v>
      </c>
      <c r="E50" s="1" t="s">
        <v>221</v>
      </c>
      <c r="F50" s="1">
        <v>9130</v>
      </c>
      <c r="G50" s="1" t="s">
        <v>228</v>
      </c>
      <c r="H50" s="1">
        <v>277</v>
      </c>
      <c r="I50" s="1" t="s">
        <v>227</v>
      </c>
      <c r="J50" s="1" t="s">
        <v>231</v>
      </c>
      <c r="K50" s="2"/>
      <c r="L50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50" t="str">
        <f>IF(AND(Tabelle2[[#This Row],[Mitarbeiterzahl]]&gt;=10,H50&lt;=1000),"OK","Fehler")</f>
        <v>OK</v>
      </c>
      <c r="N50" t="str">
        <f>IF(AND(Tabelle2[[#This Row],[Umsatzpotenzial]]&gt;=1000,Tabelle2[[#This Row],[Umsatzpotenzial]]&lt;=50000), "OK","Fehler")</f>
        <v>OK</v>
      </c>
    </row>
    <row r="51" spans="1:14" x14ac:dyDescent="0.2">
      <c r="A51" s="2" t="s">
        <v>59</v>
      </c>
      <c r="B51" s="2" t="s">
        <v>234</v>
      </c>
      <c r="C51" s="2" t="s">
        <v>213</v>
      </c>
      <c r="D51" s="5">
        <v>46212</v>
      </c>
      <c r="E51" s="2" t="s">
        <v>222</v>
      </c>
      <c r="F51" s="2">
        <v>25988</v>
      </c>
      <c r="G51" s="2" t="s">
        <v>224</v>
      </c>
      <c r="H51" s="2">
        <v>691</v>
      </c>
      <c r="I51" s="2" t="s">
        <v>227</v>
      </c>
      <c r="J51" s="2" t="s">
        <v>231</v>
      </c>
      <c r="K51" s="2"/>
      <c r="L51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51" t="str">
        <f>IF(AND(Tabelle2[[#This Row],[Mitarbeiterzahl]]&gt;=10,H51&lt;=1000),"OK","Fehler")</f>
        <v>OK</v>
      </c>
      <c r="N51" t="str">
        <f>IF(AND(Tabelle2[[#This Row],[Umsatzpotenzial]]&gt;=1000,Tabelle2[[#This Row],[Umsatzpotenzial]]&lt;=50000), "OK","Fehler")</f>
        <v>OK</v>
      </c>
    </row>
    <row r="52" spans="1:14" x14ac:dyDescent="0.2">
      <c r="A52" s="1" t="s">
        <v>60</v>
      </c>
      <c r="B52" s="1" t="s">
        <v>211</v>
      </c>
      <c r="C52" s="1" t="s">
        <v>214</v>
      </c>
      <c r="D52" s="4">
        <v>46164</v>
      </c>
      <c r="E52" s="1" t="s">
        <v>222</v>
      </c>
      <c r="F52" s="1">
        <v>41322</v>
      </c>
      <c r="G52" s="1" t="s">
        <v>223</v>
      </c>
      <c r="H52" s="1">
        <v>84</v>
      </c>
      <c r="I52" s="1" t="s">
        <v>227</v>
      </c>
      <c r="J52" s="1" t="s">
        <v>230</v>
      </c>
      <c r="K52" s="2"/>
      <c r="L52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52" t="str">
        <f>IF(AND(Tabelle2[[#This Row],[Mitarbeiterzahl]]&gt;=10,H52&lt;=1000),"OK","Fehler")</f>
        <v>OK</v>
      </c>
      <c r="N52" t="str">
        <f>IF(AND(Tabelle2[[#This Row],[Umsatzpotenzial]]&gt;=1000,Tabelle2[[#This Row],[Umsatzpotenzial]]&lt;=50000), "OK","Fehler")</f>
        <v>OK</v>
      </c>
    </row>
    <row r="53" spans="1:14" x14ac:dyDescent="0.2">
      <c r="A53" s="2" t="s">
        <v>61</v>
      </c>
      <c r="B53" s="2" t="s">
        <v>211</v>
      </c>
      <c r="C53" s="2" t="s">
        <v>217</v>
      </c>
      <c r="D53" s="5">
        <v>46228</v>
      </c>
      <c r="E53" s="2" t="s">
        <v>220</v>
      </c>
      <c r="F53" s="2">
        <v>29495</v>
      </c>
      <c r="G53" s="2" t="s">
        <v>223</v>
      </c>
      <c r="H53" s="2">
        <v>55</v>
      </c>
      <c r="I53" s="2" t="s">
        <v>226</v>
      </c>
      <c r="J53" s="2" t="s">
        <v>231</v>
      </c>
      <c r="K53" s="2"/>
      <c r="L53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53" t="str">
        <f>IF(AND(Tabelle2[[#This Row],[Mitarbeiterzahl]]&gt;=10,H53&lt;=1000),"OK","Fehler")</f>
        <v>OK</v>
      </c>
      <c r="N53" t="str">
        <f>IF(AND(Tabelle2[[#This Row],[Umsatzpotenzial]]&gt;=1000,Tabelle2[[#This Row],[Umsatzpotenzial]]&lt;=50000), "OK","Fehler")</f>
        <v>OK</v>
      </c>
    </row>
    <row r="54" spans="1:14" x14ac:dyDescent="0.2">
      <c r="A54" s="1" t="s">
        <v>62</v>
      </c>
      <c r="B54" s="1" t="s">
        <v>210</v>
      </c>
      <c r="C54" s="1" t="s">
        <v>216</v>
      </c>
      <c r="D54" s="4">
        <v>46140</v>
      </c>
      <c r="E54" s="1" t="s">
        <v>220</v>
      </c>
      <c r="F54" s="1">
        <v>43007</v>
      </c>
      <c r="G54" s="1" t="s">
        <v>228</v>
      </c>
      <c r="H54" s="1">
        <v>632</v>
      </c>
      <c r="I54" s="1" t="s">
        <v>226</v>
      </c>
      <c r="J54" s="1" t="s">
        <v>231</v>
      </c>
      <c r="K54" s="2"/>
      <c r="L54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54" t="str">
        <f>IF(AND(Tabelle2[[#This Row],[Mitarbeiterzahl]]&gt;=10,H54&lt;=1000),"OK","Fehler")</f>
        <v>OK</v>
      </c>
      <c r="N54" t="str">
        <f>IF(AND(Tabelle2[[#This Row],[Umsatzpotenzial]]&gt;=1000,Tabelle2[[#This Row],[Umsatzpotenzial]]&lt;=50000), "OK","Fehler")</f>
        <v>OK</v>
      </c>
    </row>
    <row r="55" spans="1:14" x14ac:dyDescent="0.2">
      <c r="A55" s="2" t="s">
        <v>63</v>
      </c>
      <c r="B55" s="2" t="s">
        <v>211</v>
      </c>
      <c r="C55" s="2" t="s">
        <v>213</v>
      </c>
      <c r="D55" s="5">
        <v>46220</v>
      </c>
      <c r="E55" s="2" t="s">
        <v>222</v>
      </c>
      <c r="F55" s="2">
        <v>10697</v>
      </c>
      <c r="G55" s="2" t="s">
        <v>246</v>
      </c>
      <c r="H55" s="2">
        <v>189</v>
      </c>
      <c r="I55" s="2" t="s">
        <v>227</v>
      </c>
      <c r="J55" s="2" t="s">
        <v>231</v>
      </c>
      <c r="K55" s="2"/>
      <c r="L55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55" t="str">
        <f>IF(AND(Tabelle2[[#This Row],[Mitarbeiterzahl]]&gt;=10,H55&lt;=1000),"OK","Fehler")</f>
        <v>OK</v>
      </c>
      <c r="N55" t="str">
        <f>IF(AND(Tabelle2[[#This Row],[Umsatzpotenzial]]&gt;=1000,Tabelle2[[#This Row],[Umsatzpotenzial]]&lt;=50000), "OK","Fehler")</f>
        <v>OK</v>
      </c>
    </row>
    <row r="56" spans="1:14" x14ac:dyDescent="0.2">
      <c r="A56" s="1" t="s">
        <v>64</v>
      </c>
      <c r="B56" s="1" t="s">
        <v>210</v>
      </c>
      <c r="C56" s="1" t="s">
        <v>216</v>
      </c>
      <c r="D56" s="4">
        <v>46246</v>
      </c>
      <c r="E56" s="1" t="s">
        <v>221</v>
      </c>
      <c r="F56" s="1">
        <v>1107</v>
      </c>
      <c r="G56" s="1" t="s">
        <v>246</v>
      </c>
      <c r="H56" s="1">
        <v>853</v>
      </c>
      <c r="I56" s="1" t="s">
        <v>227</v>
      </c>
      <c r="J56" s="1" t="s">
        <v>229</v>
      </c>
      <c r="K56" s="2"/>
      <c r="L56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56" t="str">
        <f>IF(AND(Tabelle2[[#This Row],[Mitarbeiterzahl]]&gt;=10,H56&lt;=1000),"OK","Fehler")</f>
        <v>OK</v>
      </c>
      <c r="N56" t="str">
        <f>IF(AND(Tabelle2[[#This Row],[Umsatzpotenzial]]&gt;=1000,Tabelle2[[#This Row],[Umsatzpotenzial]]&lt;=50000), "OK","Fehler")</f>
        <v>OK</v>
      </c>
    </row>
    <row r="57" spans="1:14" x14ac:dyDescent="0.2">
      <c r="A57" s="2" t="s">
        <v>65</v>
      </c>
      <c r="B57" s="2" t="s">
        <v>234</v>
      </c>
      <c r="C57" s="2" t="s">
        <v>217</v>
      </c>
      <c r="D57" s="5">
        <v>46251</v>
      </c>
      <c r="E57" s="2" t="s">
        <v>221</v>
      </c>
      <c r="F57" s="2">
        <v>15589</v>
      </c>
      <c r="G57" s="2" t="s">
        <v>225</v>
      </c>
      <c r="H57" s="2">
        <v>623</v>
      </c>
      <c r="I57" s="2" t="s">
        <v>227</v>
      </c>
      <c r="J57" s="2" t="s">
        <v>230</v>
      </c>
      <c r="K57" s="2"/>
      <c r="L57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57" t="str">
        <f>IF(AND(Tabelle2[[#This Row],[Mitarbeiterzahl]]&gt;=10,H57&lt;=1000),"OK","Fehler")</f>
        <v>OK</v>
      </c>
      <c r="N57" t="str">
        <f>IF(AND(Tabelle2[[#This Row],[Umsatzpotenzial]]&gt;=1000,Tabelle2[[#This Row],[Umsatzpotenzial]]&lt;=50000), "OK","Fehler")</f>
        <v>OK</v>
      </c>
    </row>
    <row r="58" spans="1:14" x14ac:dyDescent="0.2">
      <c r="A58" s="1" t="s">
        <v>66</v>
      </c>
      <c r="B58" s="1" t="s">
        <v>233</v>
      </c>
      <c r="C58" s="1" t="s">
        <v>213</v>
      </c>
      <c r="D58" s="4">
        <v>46227</v>
      </c>
      <c r="E58" s="1" t="s">
        <v>221</v>
      </c>
      <c r="F58" s="1">
        <v>41201</v>
      </c>
      <c r="G58" s="1" t="s">
        <v>246</v>
      </c>
      <c r="H58" s="1">
        <v>581</v>
      </c>
      <c r="I58" s="1" t="s">
        <v>227</v>
      </c>
      <c r="J58" s="1" t="s">
        <v>230</v>
      </c>
      <c r="K58" s="2"/>
      <c r="L58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58" t="str">
        <f>IF(AND(Tabelle2[[#This Row],[Mitarbeiterzahl]]&gt;=10,H58&lt;=1000),"OK","Fehler")</f>
        <v>OK</v>
      </c>
      <c r="N58" t="str">
        <f>IF(AND(Tabelle2[[#This Row],[Umsatzpotenzial]]&gt;=1000,Tabelle2[[#This Row],[Umsatzpotenzial]]&lt;=50000), "OK","Fehler")</f>
        <v>OK</v>
      </c>
    </row>
    <row r="59" spans="1:14" x14ac:dyDescent="0.2">
      <c r="A59" s="2" t="s">
        <v>67</v>
      </c>
      <c r="B59" s="2" t="s">
        <v>210</v>
      </c>
      <c r="C59" s="2" t="s">
        <v>214</v>
      </c>
      <c r="D59" s="5">
        <v>46118</v>
      </c>
      <c r="E59" s="2" t="s">
        <v>220</v>
      </c>
      <c r="F59" s="2">
        <v>41381</v>
      </c>
      <c r="G59" s="2" t="s">
        <v>225</v>
      </c>
      <c r="H59" s="2">
        <v>20</v>
      </c>
      <c r="I59" s="2" t="s">
        <v>226</v>
      </c>
      <c r="J59" s="2" t="s">
        <v>229</v>
      </c>
      <c r="K59" s="2"/>
      <c r="L59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59" t="str">
        <f>IF(AND(Tabelle2[[#This Row],[Mitarbeiterzahl]]&gt;=10,H59&lt;=1000),"OK","Fehler")</f>
        <v>OK</v>
      </c>
      <c r="N59" t="str">
        <f>IF(AND(Tabelle2[[#This Row],[Umsatzpotenzial]]&gt;=1000,Tabelle2[[#This Row],[Umsatzpotenzial]]&lt;=50000), "OK","Fehler")</f>
        <v>OK</v>
      </c>
    </row>
    <row r="60" spans="1:14" x14ac:dyDescent="0.2">
      <c r="A60" s="1" t="s">
        <v>68</v>
      </c>
      <c r="B60" s="1" t="s">
        <v>211</v>
      </c>
      <c r="C60" s="1" t="s">
        <v>213</v>
      </c>
      <c r="D60" s="4">
        <v>46114</v>
      </c>
      <c r="E60" s="1" t="s">
        <v>220</v>
      </c>
      <c r="F60" s="1">
        <v>44071</v>
      </c>
      <c r="G60" s="1" t="s">
        <v>225</v>
      </c>
      <c r="H60" s="1">
        <v>662</v>
      </c>
      <c r="I60" s="1" t="s">
        <v>226</v>
      </c>
      <c r="J60" s="1" t="s">
        <v>232</v>
      </c>
      <c r="K60" s="2"/>
      <c r="L60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60" t="str">
        <f>IF(AND(Tabelle2[[#This Row],[Mitarbeiterzahl]]&gt;=10,H60&lt;=1000),"OK","Fehler")</f>
        <v>OK</v>
      </c>
      <c r="N60" t="str">
        <f>IF(AND(Tabelle2[[#This Row],[Umsatzpotenzial]]&gt;=1000,Tabelle2[[#This Row],[Umsatzpotenzial]]&lt;=50000), "OK","Fehler")</f>
        <v>OK</v>
      </c>
    </row>
    <row r="61" spans="1:14" x14ac:dyDescent="0.2">
      <c r="A61" s="2" t="s">
        <v>69</v>
      </c>
      <c r="B61" s="2" t="s">
        <v>212</v>
      </c>
      <c r="C61" s="2" t="s">
        <v>219</v>
      </c>
      <c r="D61" s="5">
        <v>46230</v>
      </c>
      <c r="E61" s="2" t="s">
        <v>221</v>
      </c>
      <c r="F61" s="2">
        <v>8884</v>
      </c>
      <c r="G61" s="2" t="s">
        <v>246</v>
      </c>
      <c r="H61" s="2">
        <v>212</v>
      </c>
      <c r="I61" s="2" t="s">
        <v>227</v>
      </c>
      <c r="J61" s="2" t="s">
        <v>229</v>
      </c>
      <c r="K61" s="2"/>
      <c r="L61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61" t="str">
        <f>IF(AND(Tabelle2[[#This Row],[Mitarbeiterzahl]]&gt;=10,H61&lt;=1000),"OK","Fehler")</f>
        <v>OK</v>
      </c>
      <c r="N61" t="str">
        <f>IF(AND(Tabelle2[[#This Row],[Umsatzpotenzial]]&gt;=1000,Tabelle2[[#This Row],[Umsatzpotenzial]]&lt;=50000), "OK","Fehler")</f>
        <v>OK</v>
      </c>
    </row>
    <row r="62" spans="1:14" x14ac:dyDescent="0.2">
      <c r="A62" s="1" t="s">
        <v>70</v>
      </c>
      <c r="B62" s="1" t="s">
        <v>211</v>
      </c>
      <c r="C62" s="1" t="s">
        <v>218</v>
      </c>
      <c r="D62" s="4">
        <v>46095</v>
      </c>
      <c r="E62" s="1" t="s">
        <v>221</v>
      </c>
      <c r="F62" s="1">
        <v>41177</v>
      </c>
      <c r="G62" s="1" t="s">
        <v>224</v>
      </c>
      <c r="H62" s="1">
        <v>918</v>
      </c>
      <c r="I62" s="1" t="s">
        <v>227</v>
      </c>
      <c r="J62" s="1" t="s">
        <v>232</v>
      </c>
      <c r="K62" s="2"/>
      <c r="L62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62" t="str">
        <f>IF(AND(Tabelle2[[#This Row],[Mitarbeiterzahl]]&gt;=10,H62&lt;=1000),"OK","Fehler")</f>
        <v>OK</v>
      </c>
      <c r="N62" t="str">
        <f>IF(AND(Tabelle2[[#This Row],[Umsatzpotenzial]]&gt;=1000,Tabelle2[[#This Row],[Umsatzpotenzial]]&lt;=50000), "OK","Fehler")</f>
        <v>OK</v>
      </c>
    </row>
    <row r="63" spans="1:14" x14ac:dyDescent="0.2">
      <c r="A63" s="2" t="s">
        <v>71</v>
      </c>
      <c r="B63" s="2" t="s">
        <v>234</v>
      </c>
      <c r="C63" s="2" t="s">
        <v>218</v>
      </c>
      <c r="D63" s="5">
        <v>46111</v>
      </c>
      <c r="E63" s="2" t="s">
        <v>220</v>
      </c>
      <c r="F63" s="2">
        <v>31875</v>
      </c>
      <c r="G63" s="2" t="s">
        <v>223</v>
      </c>
      <c r="H63" s="2">
        <v>257</v>
      </c>
      <c r="I63" s="2" t="s">
        <v>226</v>
      </c>
      <c r="J63" s="2" t="s">
        <v>232</v>
      </c>
      <c r="K63" s="2"/>
      <c r="L63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63" t="str">
        <f>IF(AND(Tabelle2[[#This Row],[Mitarbeiterzahl]]&gt;=10,H63&lt;=1000),"OK","Fehler")</f>
        <v>OK</v>
      </c>
      <c r="N63" t="str">
        <f>IF(AND(Tabelle2[[#This Row],[Umsatzpotenzial]]&gt;=1000,Tabelle2[[#This Row],[Umsatzpotenzial]]&lt;=50000), "OK","Fehler")</f>
        <v>OK</v>
      </c>
    </row>
    <row r="64" spans="1:14" x14ac:dyDescent="0.2">
      <c r="A64" s="1" t="s">
        <v>72</v>
      </c>
      <c r="B64" s="1" t="s">
        <v>210</v>
      </c>
      <c r="C64" s="1" t="s">
        <v>213</v>
      </c>
      <c r="D64" s="4">
        <v>46138</v>
      </c>
      <c r="E64" s="1" t="s">
        <v>220</v>
      </c>
      <c r="F64" s="1">
        <v>35505</v>
      </c>
      <c r="G64" s="1" t="s">
        <v>246</v>
      </c>
      <c r="H64" s="1">
        <v>232</v>
      </c>
      <c r="I64" s="1" t="s">
        <v>226</v>
      </c>
      <c r="J64" s="1" t="s">
        <v>229</v>
      </c>
      <c r="K64" s="2"/>
      <c r="L64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64" t="str">
        <f>IF(AND(Tabelle2[[#This Row],[Mitarbeiterzahl]]&gt;=10,H64&lt;=1000),"OK","Fehler")</f>
        <v>OK</v>
      </c>
      <c r="N64" t="str">
        <f>IF(AND(Tabelle2[[#This Row],[Umsatzpotenzial]]&gt;=1000,Tabelle2[[#This Row],[Umsatzpotenzial]]&lt;=50000), "OK","Fehler")</f>
        <v>OK</v>
      </c>
    </row>
    <row r="65" spans="1:14" x14ac:dyDescent="0.2">
      <c r="A65" s="2" t="s">
        <v>73</v>
      </c>
      <c r="B65" s="2" t="s">
        <v>211</v>
      </c>
      <c r="C65" s="2" t="s">
        <v>217</v>
      </c>
      <c r="D65" s="5">
        <v>46195</v>
      </c>
      <c r="E65" s="2" t="s">
        <v>222</v>
      </c>
      <c r="F65" s="2">
        <v>9361</v>
      </c>
      <c r="G65" s="2" t="s">
        <v>223</v>
      </c>
      <c r="H65" s="2">
        <v>402</v>
      </c>
      <c r="I65" s="2" t="s">
        <v>227</v>
      </c>
      <c r="J65" s="2" t="s">
        <v>229</v>
      </c>
      <c r="K65" s="2"/>
      <c r="L65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65" t="str">
        <f>IF(AND(Tabelle2[[#This Row],[Mitarbeiterzahl]]&gt;=10,H65&lt;=1000),"OK","Fehler")</f>
        <v>OK</v>
      </c>
      <c r="N65" t="str">
        <f>IF(AND(Tabelle2[[#This Row],[Umsatzpotenzial]]&gt;=1000,Tabelle2[[#This Row],[Umsatzpotenzial]]&lt;=50000), "OK","Fehler")</f>
        <v>OK</v>
      </c>
    </row>
    <row r="66" spans="1:14" x14ac:dyDescent="0.2">
      <c r="A66" s="1" t="s">
        <v>74</v>
      </c>
      <c r="B66" s="1" t="s">
        <v>210</v>
      </c>
      <c r="C66" s="1" t="s">
        <v>218</v>
      </c>
      <c r="D66" s="4">
        <v>46104</v>
      </c>
      <c r="E66" s="1" t="s">
        <v>221</v>
      </c>
      <c r="F66" s="1">
        <v>17632</v>
      </c>
      <c r="G66" s="1" t="s">
        <v>228</v>
      </c>
      <c r="H66" s="1">
        <v>373</v>
      </c>
      <c r="I66" s="1" t="s">
        <v>227</v>
      </c>
      <c r="J66" s="1" t="s">
        <v>229</v>
      </c>
      <c r="K66" s="2"/>
      <c r="L66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66" t="str">
        <f>IF(AND(Tabelle2[[#This Row],[Mitarbeiterzahl]]&gt;=10,H66&lt;=1000),"OK","Fehler")</f>
        <v>OK</v>
      </c>
      <c r="N66" t="str">
        <f>IF(AND(Tabelle2[[#This Row],[Umsatzpotenzial]]&gt;=1000,Tabelle2[[#This Row],[Umsatzpotenzial]]&lt;=50000), "OK","Fehler")</f>
        <v>OK</v>
      </c>
    </row>
    <row r="67" spans="1:14" x14ac:dyDescent="0.2">
      <c r="A67" s="2" t="s">
        <v>75</v>
      </c>
      <c r="B67" s="2" t="s">
        <v>211</v>
      </c>
      <c r="C67" s="2" t="s">
        <v>217</v>
      </c>
      <c r="D67" s="5">
        <v>46203</v>
      </c>
      <c r="E67" s="2" t="s">
        <v>220</v>
      </c>
      <c r="F67" s="2">
        <v>45027</v>
      </c>
      <c r="G67" s="2" t="s">
        <v>223</v>
      </c>
      <c r="H67" s="2">
        <v>215</v>
      </c>
      <c r="I67" s="2" t="s">
        <v>226</v>
      </c>
      <c r="J67" s="2" t="s">
        <v>230</v>
      </c>
      <c r="K67" s="2"/>
      <c r="L67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67" t="str">
        <f>IF(AND(Tabelle2[[#This Row],[Mitarbeiterzahl]]&gt;=10,H67&lt;=1000),"OK","Fehler")</f>
        <v>OK</v>
      </c>
      <c r="N67" t="str">
        <f>IF(AND(Tabelle2[[#This Row],[Umsatzpotenzial]]&gt;=1000,Tabelle2[[#This Row],[Umsatzpotenzial]]&lt;=50000), "OK","Fehler")</f>
        <v>OK</v>
      </c>
    </row>
    <row r="68" spans="1:14" x14ac:dyDescent="0.2">
      <c r="A68" s="1" t="s">
        <v>76</v>
      </c>
      <c r="B68" s="1" t="s">
        <v>234</v>
      </c>
      <c r="C68" s="1" t="s">
        <v>217</v>
      </c>
      <c r="D68" s="4">
        <v>46182</v>
      </c>
      <c r="E68" s="1" t="s">
        <v>221</v>
      </c>
      <c r="F68" s="1">
        <v>10071</v>
      </c>
      <c r="G68" s="1" t="s">
        <v>246</v>
      </c>
      <c r="H68" s="1">
        <v>649</v>
      </c>
      <c r="I68" s="1" t="s">
        <v>227</v>
      </c>
      <c r="J68" s="1" t="s">
        <v>232</v>
      </c>
      <c r="K68" s="2"/>
      <c r="L68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68" t="str">
        <f>IF(AND(Tabelle2[[#This Row],[Mitarbeiterzahl]]&gt;=10,H68&lt;=1000),"OK","Fehler")</f>
        <v>OK</v>
      </c>
      <c r="N68" t="str">
        <f>IF(AND(Tabelle2[[#This Row],[Umsatzpotenzial]]&gt;=1000,Tabelle2[[#This Row],[Umsatzpotenzial]]&lt;=50000), "OK","Fehler")</f>
        <v>OK</v>
      </c>
    </row>
    <row r="69" spans="1:14" x14ac:dyDescent="0.2">
      <c r="A69" s="2" t="s">
        <v>77</v>
      </c>
      <c r="B69" s="2" t="s">
        <v>234</v>
      </c>
      <c r="C69" s="2" t="s">
        <v>214</v>
      </c>
      <c r="D69" s="5">
        <v>46211</v>
      </c>
      <c r="E69" s="2" t="s">
        <v>221</v>
      </c>
      <c r="F69" s="2">
        <v>29814</v>
      </c>
      <c r="G69" s="2" t="s">
        <v>225</v>
      </c>
      <c r="H69" s="2">
        <v>472</v>
      </c>
      <c r="I69" s="2" t="s">
        <v>227</v>
      </c>
      <c r="J69" s="2" t="s">
        <v>230</v>
      </c>
      <c r="K69" s="2"/>
      <c r="L69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69" t="str">
        <f>IF(AND(Tabelle2[[#This Row],[Mitarbeiterzahl]]&gt;=10,H69&lt;=1000),"OK","Fehler")</f>
        <v>OK</v>
      </c>
      <c r="N69" t="str">
        <f>IF(AND(Tabelle2[[#This Row],[Umsatzpotenzial]]&gt;=1000,Tabelle2[[#This Row],[Umsatzpotenzial]]&lt;=50000), "OK","Fehler")</f>
        <v>OK</v>
      </c>
    </row>
    <row r="70" spans="1:14" x14ac:dyDescent="0.2">
      <c r="A70" s="1" t="s">
        <v>78</v>
      </c>
      <c r="B70" s="1" t="s">
        <v>212</v>
      </c>
      <c r="C70" s="1" t="s">
        <v>219</v>
      </c>
      <c r="D70" s="4">
        <v>46212</v>
      </c>
      <c r="E70" s="1" t="s">
        <v>220</v>
      </c>
      <c r="F70" s="1">
        <v>32746</v>
      </c>
      <c r="G70" s="1" t="s">
        <v>246</v>
      </c>
      <c r="H70" s="1">
        <v>993</v>
      </c>
      <c r="I70" s="1" t="s">
        <v>226</v>
      </c>
      <c r="J70" s="1" t="s">
        <v>231</v>
      </c>
      <c r="K70" s="2"/>
      <c r="L70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70" t="str">
        <f>IF(AND(Tabelle2[[#This Row],[Mitarbeiterzahl]]&gt;=10,H70&lt;=1000),"OK","Fehler")</f>
        <v>OK</v>
      </c>
      <c r="N70" t="str">
        <f>IF(AND(Tabelle2[[#This Row],[Umsatzpotenzial]]&gt;=1000,Tabelle2[[#This Row],[Umsatzpotenzial]]&lt;=50000), "OK","Fehler")</f>
        <v>OK</v>
      </c>
    </row>
    <row r="71" spans="1:14" x14ac:dyDescent="0.2">
      <c r="A71" s="2" t="s">
        <v>79</v>
      </c>
      <c r="B71" s="2" t="s">
        <v>211</v>
      </c>
      <c r="C71" s="2" t="s">
        <v>217</v>
      </c>
      <c r="D71" s="5">
        <v>46109</v>
      </c>
      <c r="E71" s="2" t="s">
        <v>220</v>
      </c>
      <c r="F71" s="2">
        <v>46699</v>
      </c>
      <c r="G71" s="2" t="s">
        <v>246</v>
      </c>
      <c r="H71" s="2">
        <v>891</v>
      </c>
      <c r="I71" s="2" t="s">
        <v>226</v>
      </c>
      <c r="J71" s="2" t="s">
        <v>229</v>
      </c>
      <c r="K71" s="2"/>
      <c r="L71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71" t="str">
        <f>IF(AND(Tabelle2[[#This Row],[Mitarbeiterzahl]]&gt;=10,H71&lt;=1000),"OK","Fehler")</f>
        <v>OK</v>
      </c>
      <c r="N71" t="str">
        <f>IF(AND(Tabelle2[[#This Row],[Umsatzpotenzial]]&gt;=1000,Tabelle2[[#This Row],[Umsatzpotenzial]]&lt;=50000), "OK","Fehler")</f>
        <v>OK</v>
      </c>
    </row>
    <row r="72" spans="1:14" x14ac:dyDescent="0.2">
      <c r="A72" s="1" t="s">
        <v>80</v>
      </c>
      <c r="B72" s="1" t="s">
        <v>234</v>
      </c>
      <c r="C72" s="1" t="s">
        <v>214</v>
      </c>
      <c r="D72" s="4">
        <v>46102</v>
      </c>
      <c r="E72" s="1" t="s">
        <v>220</v>
      </c>
      <c r="F72" s="1">
        <v>39955</v>
      </c>
      <c r="G72" s="1" t="s">
        <v>223</v>
      </c>
      <c r="H72" s="1">
        <v>315</v>
      </c>
      <c r="I72" s="1" t="s">
        <v>226</v>
      </c>
      <c r="J72" s="1" t="s">
        <v>230</v>
      </c>
      <c r="K72" s="2"/>
      <c r="L72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72" t="str">
        <f>IF(AND(Tabelle2[[#This Row],[Mitarbeiterzahl]]&gt;=10,H72&lt;=1000),"OK","Fehler")</f>
        <v>OK</v>
      </c>
      <c r="N72" t="str">
        <f>IF(AND(Tabelle2[[#This Row],[Umsatzpotenzial]]&gt;=1000,Tabelle2[[#This Row],[Umsatzpotenzial]]&lt;=50000), "OK","Fehler")</f>
        <v>OK</v>
      </c>
    </row>
    <row r="73" spans="1:14" x14ac:dyDescent="0.2">
      <c r="A73" s="2" t="s">
        <v>81</v>
      </c>
      <c r="B73" s="2" t="s">
        <v>210</v>
      </c>
      <c r="C73" s="2" t="s">
        <v>213</v>
      </c>
      <c r="D73" s="5">
        <v>46196</v>
      </c>
      <c r="E73" s="2" t="s">
        <v>221</v>
      </c>
      <c r="F73" s="2">
        <v>33145</v>
      </c>
      <c r="G73" s="2" t="s">
        <v>246</v>
      </c>
      <c r="H73" s="2">
        <v>424</v>
      </c>
      <c r="I73" s="2" t="s">
        <v>227</v>
      </c>
      <c r="J73" s="2" t="s">
        <v>231</v>
      </c>
      <c r="K73" s="2"/>
      <c r="L73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73" t="str">
        <f>IF(AND(Tabelle2[[#This Row],[Mitarbeiterzahl]]&gt;=10,H73&lt;=1000),"OK","Fehler")</f>
        <v>OK</v>
      </c>
      <c r="N73" t="str">
        <f>IF(AND(Tabelle2[[#This Row],[Umsatzpotenzial]]&gt;=1000,Tabelle2[[#This Row],[Umsatzpotenzial]]&lt;=50000), "OK","Fehler")</f>
        <v>OK</v>
      </c>
    </row>
    <row r="74" spans="1:14" x14ac:dyDescent="0.2">
      <c r="A74" s="1" t="s">
        <v>82</v>
      </c>
      <c r="B74" s="1" t="s">
        <v>211</v>
      </c>
      <c r="C74" s="1" t="s">
        <v>216</v>
      </c>
      <c r="D74" s="4">
        <v>46234</v>
      </c>
      <c r="E74" s="1" t="s">
        <v>222</v>
      </c>
      <c r="F74" s="1">
        <v>44109</v>
      </c>
      <c r="G74" s="1" t="s">
        <v>223</v>
      </c>
      <c r="H74" s="1">
        <v>436</v>
      </c>
      <c r="I74" s="1" t="s">
        <v>227</v>
      </c>
      <c r="J74" s="1" t="s">
        <v>232</v>
      </c>
      <c r="K74" s="2"/>
      <c r="L74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74" t="str">
        <f>IF(AND(Tabelle2[[#This Row],[Mitarbeiterzahl]]&gt;=10,H74&lt;=1000),"OK","Fehler")</f>
        <v>OK</v>
      </c>
      <c r="N74" t="str">
        <f>IF(AND(Tabelle2[[#This Row],[Umsatzpotenzial]]&gt;=1000,Tabelle2[[#This Row],[Umsatzpotenzial]]&lt;=50000), "OK","Fehler")</f>
        <v>OK</v>
      </c>
    </row>
    <row r="75" spans="1:14" x14ac:dyDescent="0.2">
      <c r="A75" s="2" t="s">
        <v>83</v>
      </c>
      <c r="B75" s="2" t="s">
        <v>233</v>
      </c>
      <c r="C75" s="2" t="s">
        <v>215</v>
      </c>
      <c r="D75" s="5">
        <v>46208</v>
      </c>
      <c r="E75" s="2" t="s">
        <v>220</v>
      </c>
      <c r="F75" s="2">
        <v>31743</v>
      </c>
      <c r="G75" s="2" t="s">
        <v>223</v>
      </c>
      <c r="H75" s="2">
        <v>590</v>
      </c>
      <c r="I75" s="2" t="s">
        <v>226</v>
      </c>
      <c r="J75" s="2" t="s">
        <v>230</v>
      </c>
      <c r="K75" s="2"/>
      <c r="L75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75" t="str">
        <f>IF(AND(Tabelle2[[#This Row],[Mitarbeiterzahl]]&gt;=10,H75&lt;=1000),"OK","Fehler")</f>
        <v>OK</v>
      </c>
      <c r="N75" t="str">
        <f>IF(AND(Tabelle2[[#This Row],[Umsatzpotenzial]]&gt;=1000,Tabelle2[[#This Row],[Umsatzpotenzial]]&lt;=50000), "OK","Fehler")</f>
        <v>OK</v>
      </c>
    </row>
    <row r="76" spans="1:14" x14ac:dyDescent="0.2">
      <c r="A76" s="1" t="s">
        <v>84</v>
      </c>
      <c r="B76" s="1" t="s">
        <v>211</v>
      </c>
      <c r="C76" s="1" t="s">
        <v>213</v>
      </c>
      <c r="D76" s="4">
        <v>46086</v>
      </c>
      <c r="E76" s="1" t="s">
        <v>221</v>
      </c>
      <c r="F76" s="1">
        <v>9430</v>
      </c>
      <c r="G76" s="1" t="s">
        <v>225</v>
      </c>
      <c r="H76" s="1">
        <v>588</v>
      </c>
      <c r="I76" s="1" t="s">
        <v>227</v>
      </c>
      <c r="J76" s="1" t="s">
        <v>232</v>
      </c>
      <c r="K76" s="2"/>
      <c r="L76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76" t="str">
        <f>IF(AND(Tabelle2[[#This Row],[Mitarbeiterzahl]]&gt;=10,H76&lt;=1000),"OK","Fehler")</f>
        <v>OK</v>
      </c>
      <c r="N76" t="str">
        <f>IF(AND(Tabelle2[[#This Row],[Umsatzpotenzial]]&gt;=1000,Tabelle2[[#This Row],[Umsatzpotenzial]]&lt;=50000), "OK","Fehler")</f>
        <v>OK</v>
      </c>
    </row>
    <row r="77" spans="1:14" x14ac:dyDescent="0.2">
      <c r="A77" s="2" t="s">
        <v>85</v>
      </c>
      <c r="B77" s="2" t="s">
        <v>233</v>
      </c>
      <c r="C77" s="2" t="s">
        <v>214</v>
      </c>
      <c r="D77" s="5">
        <v>46164</v>
      </c>
      <c r="E77" s="2" t="s">
        <v>220</v>
      </c>
      <c r="F77" s="2">
        <v>20298</v>
      </c>
      <c r="G77" s="2" t="s">
        <v>246</v>
      </c>
      <c r="H77" s="2">
        <v>274</v>
      </c>
      <c r="I77" s="2" t="s">
        <v>226</v>
      </c>
      <c r="J77" s="2" t="s">
        <v>230</v>
      </c>
      <c r="K77" s="2"/>
      <c r="L77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77" t="str">
        <f>IF(AND(Tabelle2[[#This Row],[Mitarbeiterzahl]]&gt;=10,H77&lt;=1000),"OK","Fehler")</f>
        <v>OK</v>
      </c>
      <c r="N77" t="str">
        <f>IF(AND(Tabelle2[[#This Row],[Umsatzpotenzial]]&gt;=1000,Tabelle2[[#This Row],[Umsatzpotenzial]]&lt;=50000), "OK","Fehler")</f>
        <v>OK</v>
      </c>
    </row>
    <row r="78" spans="1:14" x14ac:dyDescent="0.2">
      <c r="A78" s="1" t="s">
        <v>86</v>
      </c>
      <c r="B78" s="1" t="s">
        <v>234</v>
      </c>
      <c r="C78" s="1" t="s">
        <v>216</v>
      </c>
      <c r="D78" s="4">
        <v>46117</v>
      </c>
      <c r="E78" s="1" t="s">
        <v>220</v>
      </c>
      <c r="F78" s="1">
        <v>6090</v>
      </c>
      <c r="G78" s="1" t="s">
        <v>228</v>
      </c>
      <c r="H78" s="1">
        <v>27</v>
      </c>
      <c r="I78" s="1" t="s">
        <v>226</v>
      </c>
      <c r="J78" s="1" t="s">
        <v>229</v>
      </c>
      <c r="K78" s="2"/>
      <c r="L78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78" t="str">
        <f>IF(AND(Tabelle2[[#This Row],[Mitarbeiterzahl]]&gt;=10,H78&lt;=1000),"OK","Fehler")</f>
        <v>OK</v>
      </c>
      <c r="N78" t="str">
        <f>IF(AND(Tabelle2[[#This Row],[Umsatzpotenzial]]&gt;=1000,Tabelle2[[#This Row],[Umsatzpotenzial]]&lt;=50000), "OK","Fehler")</f>
        <v>OK</v>
      </c>
    </row>
    <row r="79" spans="1:14" x14ac:dyDescent="0.2">
      <c r="A79" s="2" t="s">
        <v>87</v>
      </c>
      <c r="B79" s="2" t="s">
        <v>211</v>
      </c>
      <c r="C79" s="2" t="s">
        <v>219</v>
      </c>
      <c r="D79" s="5">
        <v>46208</v>
      </c>
      <c r="E79" s="2" t="s">
        <v>222</v>
      </c>
      <c r="F79" s="2">
        <v>10866</v>
      </c>
      <c r="G79" s="2" t="s">
        <v>246</v>
      </c>
      <c r="H79" s="2">
        <v>339</v>
      </c>
      <c r="I79" s="2" t="s">
        <v>227</v>
      </c>
      <c r="J79" s="2" t="s">
        <v>229</v>
      </c>
      <c r="K79" s="2"/>
      <c r="L79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79" t="str">
        <f>IF(AND(Tabelle2[[#This Row],[Mitarbeiterzahl]]&gt;=10,H79&lt;=1000),"OK","Fehler")</f>
        <v>OK</v>
      </c>
      <c r="N79" t="str">
        <f>IF(AND(Tabelle2[[#This Row],[Umsatzpotenzial]]&gt;=1000,Tabelle2[[#This Row],[Umsatzpotenzial]]&lt;=50000), "OK","Fehler")</f>
        <v>OK</v>
      </c>
    </row>
    <row r="80" spans="1:14" x14ac:dyDescent="0.2">
      <c r="A80" s="1" t="s">
        <v>88</v>
      </c>
      <c r="B80" s="1" t="s">
        <v>210</v>
      </c>
      <c r="C80" s="1" t="s">
        <v>217</v>
      </c>
      <c r="D80" s="4">
        <v>46093</v>
      </c>
      <c r="E80" s="1" t="s">
        <v>221</v>
      </c>
      <c r="F80" s="1">
        <v>34616</v>
      </c>
      <c r="G80" s="1" t="s">
        <v>223</v>
      </c>
      <c r="H80" s="1">
        <v>167</v>
      </c>
      <c r="I80" s="1" t="s">
        <v>227</v>
      </c>
      <c r="J80" s="1" t="s">
        <v>229</v>
      </c>
      <c r="K80" s="2"/>
      <c r="L80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80" t="str">
        <f>IF(AND(Tabelle2[[#This Row],[Mitarbeiterzahl]]&gt;=10,H80&lt;=1000),"OK","Fehler")</f>
        <v>OK</v>
      </c>
      <c r="N80" t="str">
        <f>IF(AND(Tabelle2[[#This Row],[Umsatzpotenzial]]&gt;=1000,Tabelle2[[#This Row],[Umsatzpotenzial]]&lt;=50000), "OK","Fehler")</f>
        <v>OK</v>
      </c>
    </row>
    <row r="81" spans="1:14" x14ac:dyDescent="0.2">
      <c r="A81" s="2" t="s">
        <v>89</v>
      </c>
      <c r="B81" s="2" t="s">
        <v>210</v>
      </c>
      <c r="C81" s="2" t="s">
        <v>218</v>
      </c>
      <c r="D81" s="5">
        <v>46095</v>
      </c>
      <c r="E81" s="2" t="s">
        <v>220</v>
      </c>
      <c r="F81" s="2">
        <v>28135</v>
      </c>
      <c r="G81" s="2" t="s">
        <v>224</v>
      </c>
      <c r="H81" s="2">
        <v>303</v>
      </c>
      <c r="I81" s="2" t="s">
        <v>226</v>
      </c>
      <c r="J81" s="2" t="s">
        <v>230</v>
      </c>
      <c r="K81" s="2"/>
      <c r="L81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81" t="str">
        <f>IF(AND(Tabelle2[[#This Row],[Mitarbeiterzahl]]&gt;=10,H81&lt;=1000),"OK","Fehler")</f>
        <v>OK</v>
      </c>
      <c r="N81" t="str">
        <f>IF(AND(Tabelle2[[#This Row],[Umsatzpotenzial]]&gt;=1000,Tabelle2[[#This Row],[Umsatzpotenzial]]&lt;=50000), "OK","Fehler")</f>
        <v>OK</v>
      </c>
    </row>
    <row r="82" spans="1:14" x14ac:dyDescent="0.2">
      <c r="A82" s="1" t="s">
        <v>90</v>
      </c>
      <c r="B82" s="1" t="s">
        <v>212</v>
      </c>
      <c r="C82" s="1" t="s">
        <v>215</v>
      </c>
      <c r="D82" s="4">
        <v>46120</v>
      </c>
      <c r="E82" s="1" t="s">
        <v>222</v>
      </c>
      <c r="F82" s="1">
        <v>19358</v>
      </c>
      <c r="G82" s="1" t="s">
        <v>225</v>
      </c>
      <c r="H82" s="1">
        <v>662</v>
      </c>
      <c r="I82" s="1" t="s">
        <v>227</v>
      </c>
      <c r="J82" s="1" t="s">
        <v>230</v>
      </c>
      <c r="K82" s="2"/>
      <c r="L82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82" t="str">
        <f>IF(AND(Tabelle2[[#This Row],[Mitarbeiterzahl]]&gt;=10,H82&lt;=1000),"OK","Fehler")</f>
        <v>OK</v>
      </c>
      <c r="N82" t="str">
        <f>IF(AND(Tabelle2[[#This Row],[Umsatzpotenzial]]&gt;=1000,Tabelle2[[#This Row],[Umsatzpotenzial]]&lt;=50000), "OK","Fehler")</f>
        <v>OK</v>
      </c>
    </row>
    <row r="83" spans="1:14" x14ac:dyDescent="0.2">
      <c r="A83" s="2" t="s">
        <v>91</v>
      </c>
      <c r="B83" s="2" t="s">
        <v>210</v>
      </c>
      <c r="C83" s="2" t="s">
        <v>216</v>
      </c>
      <c r="D83" s="5">
        <v>46112</v>
      </c>
      <c r="E83" s="2" t="s">
        <v>221</v>
      </c>
      <c r="F83" s="2">
        <v>7048</v>
      </c>
      <c r="G83" s="2" t="s">
        <v>246</v>
      </c>
      <c r="H83" s="2">
        <v>373</v>
      </c>
      <c r="I83" s="2" t="s">
        <v>227</v>
      </c>
      <c r="J83" s="2" t="s">
        <v>230</v>
      </c>
      <c r="K83" s="2"/>
      <c r="L83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83" t="str">
        <f>IF(AND(Tabelle2[[#This Row],[Mitarbeiterzahl]]&gt;=10,H83&lt;=1000),"OK","Fehler")</f>
        <v>OK</v>
      </c>
      <c r="N83" t="str">
        <f>IF(AND(Tabelle2[[#This Row],[Umsatzpotenzial]]&gt;=1000,Tabelle2[[#This Row],[Umsatzpotenzial]]&lt;=50000), "OK","Fehler")</f>
        <v>OK</v>
      </c>
    </row>
    <row r="84" spans="1:14" x14ac:dyDescent="0.2">
      <c r="A84" s="1" t="s">
        <v>92</v>
      </c>
      <c r="B84" s="1" t="s">
        <v>233</v>
      </c>
      <c r="C84" s="1" t="s">
        <v>217</v>
      </c>
      <c r="D84" s="4">
        <v>46157</v>
      </c>
      <c r="E84" s="1" t="s">
        <v>220</v>
      </c>
      <c r="F84" s="1">
        <v>32189</v>
      </c>
      <c r="G84" s="1" t="s">
        <v>225</v>
      </c>
      <c r="H84" s="1">
        <v>228</v>
      </c>
      <c r="I84" s="1" t="s">
        <v>226</v>
      </c>
      <c r="J84" s="1" t="s">
        <v>230</v>
      </c>
      <c r="K84" s="2"/>
      <c r="L84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84" t="str">
        <f>IF(AND(Tabelle2[[#This Row],[Mitarbeiterzahl]]&gt;=10,H84&lt;=1000),"OK","Fehler")</f>
        <v>OK</v>
      </c>
      <c r="N84" t="str">
        <f>IF(AND(Tabelle2[[#This Row],[Umsatzpotenzial]]&gt;=1000,Tabelle2[[#This Row],[Umsatzpotenzial]]&lt;=50000), "OK","Fehler")</f>
        <v>OK</v>
      </c>
    </row>
    <row r="85" spans="1:14" x14ac:dyDescent="0.2">
      <c r="A85" s="2" t="s">
        <v>93</v>
      </c>
      <c r="B85" s="2" t="s">
        <v>211</v>
      </c>
      <c r="C85" s="2" t="s">
        <v>219</v>
      </c>
      <c r="D85" s="5">
        <v>46110</v>
      </c>
      <c r="E85" s="2" t="s">
        <v>220</v>
      </c>
      <c r="F85" s="2">
        <v>39885</v>
      </c>
      <c r="G85" s="2" t="s">
        <v>246</v>
      </c>
      <c r="H85" s="2">
        <v>733</v>
      </c>
      <c r="I85" s="2" t="s">
        <v>226</v>
      </c>
      <c r="J85" s="2" t="s">
        <v>229</v>
      </c>
      <c r="K85" s="2"/>
      <c r="L85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85" t="str">
        <f>IF(AND(Tabelle2[[#This Row],[Mitarbeiterzahl]]&gt;=10,H85&lt;=1000),"OK","Fehler")</f>
        <v>OK</v>
      </c>
      <c r="N85" t="str">
        <f>IF(AND(Tabelle2[[#This Row],[Umsatzpotenzial]]&gt;=1000,Tabelle2[[#This Row],[Umsatzpotenzial]]&lt;=50000), "OK","Fehler")</f>
        <v>OK</v>
      </c>
    </row>
    <row r="86" spans="1:14" x14ac:dyDescent="0.2">
      <c r="A86" s="1" t="s">
        <v>94</v>
      </c>
      <c r="B86" s="1" t="s">
        <v>234</v>
      </c>
      <c r="C86" s="1" t="s">
        <v>216</v>
      </c>
      <c r="D86" s="4">
        <v>46121</v>
      </c>
      <c r="E86" s="1" t="s">
        <v>220</v>
      </c>
      <c r="F86" s="1">
        <v>6133</v>
      </c>
      <c r="G86" s="1" t="s">
        <v>246</v>
      </c>
      <c r="H86" s="1">
        <v>203</v>
      </c>
      <c r="I86" s="1" t="s">
        <v>226</v>
      </c>
      <c r="J86" s="1" t="s">
        <v>230</v>
      </c>
      <c r="K86" s="2"/>
      <c r="L86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86" t="str">
        <f>IF(AND(Tabelle2[[#This Row],[Mitarbeiterzahl]]&gt;=10,H86&lt;=1000),"OK","Fehler")</f>
        <v>OK</v>
      </c>
      <c r="N86" t="str">
        <f>IF(AND(Tabelle2[[#This Row],[Umsatzpotenzial]]&gt;=1000,Tabelle2[[#This Row],[Umsatzpotenzial]]&lt;=50000), "OK","Fehler")</f>
        <v>OK</v>
      </c>
    </row>
    <row r="87" spans="1:14" x14ac:dyDescent="0.2">
      <c r="A87" s="2" t="s">
        <v>95</v>
      </c>
      <c r="B87" s="2" t="s">
        <v>211</v>
      </c>
      <c r="C87" s="2" t="s">
        <v>216</v>
      </c>
      <c r="D87" s="5">
        <v>46162</v>
      </c>
      <c r="E87" s="2" t="s">
        <v>222</v>
      </c>
      <c r="F87" s="2">
        <v>36938</v>
      </c>
      <c r="G87" s="2" t="s">
        <v>228</v>
      </c>
      <c r="H87" s="2">
        <v>89</v>
      </c>
      <c r="I87" s="2" t="s">
        <v>227</v>
      </c>
      <c r="J87" s="2" t="s">
        <v>229</v>
      </c>
      <c r="K87" s="2"/>
      <c r="L87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87" t="str">
        <f>IF(AND(Tabelle2[[#This Row],[Mitarbeiterzahl]]&gt;=10,H87&lt;=1000),"OK","Fehler")</f>
        <v>OK</v>
      </c>
      <c r="N87" t="str">
        <f>IF(AND(Tabelle2[[#This Row],[Umsatzpotenzial]]&gt;=1000,Tabelle2[[#This Row],[Umsatzpotenzial]]&lt;=50000), "OK","Fehler")</f>
        <v>OK</v>
      </c>
    </row>
    <row r="88" spans="1:14" x14ac:dyDescent="0.2">
      <c r="A88" s="1" t="s">
        <v>96</v>
      </c>
      <c r="B88" s="1" t="s">
        <v>212</v>
      </c>
      <c r="C88" s="1" t="s">
        <v>214</v>
      </c>
      <c r="D88" s="4">
        <v>46112</v>
      </c>
      <c r="E88" s="1" t="s">
        <v>220</v>
      </c>
      <c r="F88" s="1">
        <v>18792</v>
      </c>
      <c r="G88" s="1" t="s">
        <v>223</v>
      </c>
      <c r="H88" s="1">
        <v>869</v>
      </c>
      <c r="I88" s="1" t="s">
        <v>226</v>
      </c>
      <c r="J88" s="1" t="s">
        <v>229</v>
      </c>
      <c r="K88" s="2"/>
      <c r="L88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88" t="str">
        <f>IF(AND(Tabelle2[[#This Row],[Mitarbeiterzahl]]&gt;=10,H88&lt;=1000),"OK","Fehler")</f>
        <v>OK</v>
      </c>
      <c r="N88" t="str">
        <f>IF(AND(Tabelle2[[#This Row],[Umsatzpotenzial]]&gt;=1000,Tabelle2[[#This Row],[Umsatzpotenzial]]&lt;=50000), "OK","Fehler")</f>
        <v>OK</v>
      </c>
    </row>
    <row r="89" spans="1:14" x14ac:dyDescent="0.2">
      <c r="A89" s="2" t="s">
        <v>97</v>
      </c>
      <c r="B89" s="2" t="s">
        <v>210</v>
      </c>
      <c r="C89" s="2" t="s">
        <v>218</v>
      </c>
      <c r="D89" s="5">
        <v>46105</v>
      </c>
      <c r="E89" s="2" t="s">
        <v>220</v>
      </c>
      <c r="F89" s="2">
        <v>19225</v>
      </c>
      <c r="G89" s="2" t="s">
        <v>224</v>
      </c>
      <c r="H89" s="2">
        <v>409</v>
      </c>
      <c r="I89" s="2" t="s">
        <v>226</v>
      </c>
      <c r="J89" s="2" t="s">
        <v>231</v>
      </c>
      <c r="K89" s="2"/>
      <c r="L89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89" t="str">
        <f>IF(AND(Tabelle2[[#This Row],[Mitarbeiterzahl]]&gt;=10,H89&lt;=1000),"OK","Fehler")</f>
        <v>OK</v>
      </c>
      <c r="N89" t="str">
        <f>IF(AND(Tabelle2[[#This Row],[Umsatzpotenzial]]&gt;=1000,Tabelle2[[#This Row],[Umsatzpotenzial]]&lt;=50000), "OK","Fehler")</f>
        <v>OK</v>
      </c>
    </row>
    <row r="90" spans="1:14" x14ac:dyDescent="0.2">
      <c r="A90" s="1" t="s">
        <v>98</v>
      </c>
      <c r="B90" s="1" t="s">
        <v>234</v>
      </c>
      <c r="C90" s="1" t="s">
        <v>215</v>
      </c>
      <c r="D90" s="4">
        <v>46105</v>
      </c>
      <c r="E90" s="1" t="s">
        <v>221</v>
      </c>
      <c r="F90" s="1">
        <v>22584</v>
      </c>
      <c r="G90" s="1" t="s">
        <v>228</v>
      </c>
      <c r="H90" s="1">
        <v>293</v>
      </c>
      <c r="I90" s="1" t="s">
        <v>227</v>
      </c>
      <c r="J90" s="1" t="s">
        <v>230</v>
      </c>
      <c r="K90" s="2"/>
      <c r="L90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90" t="str">
        <f>IF(AND(Tabelle2[[#This Row],[Mitarbeiterzahl]]&gt;=10,H90&lt;=1000),"OK","Fehler")</f>
        <v>OK</v>
      </c>
      <c r="N90" t="str">
        <f>IF(AND(Tabelle2[[#This Row],[Umsatzpotenzial]]&gt;=1000,Tabelle2[[#This Row],[Umsatzpotenzial]]&lt;=50000), "OK","Fehler")</f>
        <v>OK</v>
      </c>
    </row>
    <row r="91" spans="1:14" x14ac:dyDescent="0.2">
      <c r="A91" s="2" t="s">
        <v>99</v>
      </c>
      <c r="B91" s="2" t="s">
        <v>234</v>
      </c>
      <c r="C91" s="2" t="s">
        <v>217</v>
      </c>
      <c r="D91" s="5">
        <v>46149</v>
      </c>
      <c r="E91" s="2" t="s">
        <v>222</v>
      </c>
      <c r="F91" s="2">
        <v>28112</v>
      </c>
      <c r="G91" s="2" t="s">
        <v>223</v>
      </c>
      <c r="H91" s="2">
        <v>124</v>
      </c>
      <c r="I91" s="2" t="s">
        <v>227</v>
      </c>
      <c r="J91" s="2" t="s">
        <v>229</v>
      </c>
      <c r="K91" s="2"/>
      <c r="L91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91" t="str">
        <f>IF(AND(Tabelle2[[#This Row],[Mitarbeiterzahl]]&gt;=10,H91&lt;=1000),"OK","Fehler")</f>
        <v>OK</v>
      </c>
      <c r="N91" t="str">
        <f>IF(AND(Tabelle2[[#This Row],[Umsatzpotenzial]]&gt;=1000,Tabelle2[[#This Row],[Umsatzpotenzial]]&lt;=50000), "OK","Fehler")</f>
        <v>OK</v>
      </c>
    </row>
    <row r="92" spans="1:14" x14ac:dyDescent="0.2">
      <c r="A92" s="1" t="s">
        <v>100</v>
      </c>
      <c r="B92" s="1" t="s">
        <v>211</v>
      </c>
      <c r="C92" s="1" t="s">
        <v>214</v>
      </c>
      <c r="D92" s="4">
        <v>46242</v>
      </c>
      <c r="E92" s="1" t="s">
        <v>222</v>
      </c>
      <c r="F92" s="1">
        <v>39371</v>
      </c>
      <c r="G92" s="1" t="s">
        <v>225</v>
      </c>
      <c r="H92" s="1">
        <v>560</v>
      </c>
      <c r="I92" s="1" t="s">
        <v>227</v>
      </c>
      <c r="J92" s="1" t="s">
        <v>231</v>
      </c>
      <c r="K92" s="2"/>
      <c r="L92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92" t="str">
        <f>IF(AND(Tabelle2[[#This Row],[Mitarbeiterzahl]]&gt;=10,H92&lt;=1000),"OK","Fehler")</f>
        <v>OK</v>
      </c>
      <c r="N92" t="str">
        <f>IF(AND(Tabelle2[[#This Row],[Umsatzpotenzial]]&gt;=1000,Tabelle2[[#This Row],[Umsatzpotenzial]]&lt;=50000), "OK","Fehler")</f>
        <v>OK</v>
      </c>
    </row>
    <row r="93" spans="1:14" x14ac:dyDescent="0.2">
      <c r="A93" s="2" t="s">
        <v>101</v>
      </c>
      <c r="B93" s="2" t="s">
        <v>233</v>
      </c>
      <c r="C93" s="2" t="s">
        <v>219</v>
      </c>
      <c r="D93" s="5">
        <v>46128</v>
      </c>
      <c r="E93" s="2" t="s">
        <v>220</v>
      </c>
      <c r="F93" s="2">
        <v>44608</v>
      </c>
      <c r="G93" s="2" t="s">
        <v>228</v>
      </c>
      <c r="H93" s="2">
        <v>993</v>
      </c>
      <c r="I93" s="2" t="s">
        <v>226</v>
      </c>
      <c r="J93" s="2" t="s">
        <v>232</v>
      </c>
      <c r="K93" s="2"/>
      <c r="L93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93" t="str">
        <f>IF(AND(Tabelle2[[#This Row],[Mitarbeiterzahl]]&gt;=10,H93&lt;=1000),"OK","Fehler")</f>
        <v>OK</v>
      </c>
      <c r="N93" t="str">
        <f>IF(AND(Tabelle2[[#This Row],[Umsatzpotenzial]]&gt;=1000,Tabelle2[[#This Row],[Umsatzpotenzial]]&lt;=50000), "OK","Fehler")</f>
        <v>OK</v>
      </c>
    </row>
    <row r="94" spans="1:14" x14ac:dyDescent="0.2">
      <c r="A94" s="1" t="s">
        <v>102</v>
      </c>
      <c r="B94" s="1" t="s">
        <v>233</v>
      </c>
      <c r="C94" s="1" t="s">
        <v>219</v>
      </c>
      <c r="D94" s="4">
        <v>46264</v>
      </c>
      <c r="E94" s="1" t="s">
        <v>220</v>
      </c>
      <c r="F94" s="1">
        <v>1265</v>
      </c>
      <c r="G94" s="1" t="s">
        <v>223</v>
      </c>
      <c r="H94" s="1">
        <v>145</v>
      </c>
      <c r="I94" s="1" t="s">
        <v>226</v>
      </c>
      <c r="J94" s="1" t="s">
        <v>232</v>
      </c>
      <c r="K94" s="2"/>
      <c r="L94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94" t="str">
        <f>IF(AND(Tabelle2[[#This Row],[Mitarbeiterzahl]]&gt;=10,H94&lt;=1000),"OK","Fehler")</f>
        <v>OK</v>
      </c>
      <c r="N94" t="str">
        <f>IF(AND(Tabelle2[[#This Row],[Umsatzpotenzial]]&gt;=1000,Tabelle2[[#This Row],[Umsatzpotenzial]]&lt;=50000), "OK","Fehler")</f>
        <v>OK</v>
      </c>
    </row>
    <row r="95" spans="1:14" x14ac:dyDescent="0.2">
      <c r="A95" s="2" t="s">
        <v>103</v>
      </c>
      <c r="B95" s="2" t="s">
        <v>233</v>
      </c>
      <c r="C95" s="2" t="s">
        <v>219</v>
      </c>
      <c r="D95" s="5">
        <v>46264</v>
      </c>
      <c r="E95" s="2" t="s">
        <v>221</v>
      </c>
      <c r="F95" s="2">
        <v>38375</v>
      </c>
      <c r="G95" s="2" t="s">
        <v>228</v>
      </c>
      <c r="H95" s="2">
        <v>574</v>
      </c>
      <c r="I95" s="2" t="s">
        <v>227</v>
      </c>
      <c r="J95" s="2" t="s">
        <v>231</v>
      </c>
      <c r="K95" s="2"/>
      <c r="L95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95" t="str">
        <f>IF(AND(Tabelle2[[#This Row],[Mitarbeiterzahl]]&gt;=10,H95&lt;=1000),"OK","Fehler")</f>
        <v>OK</v>
      </c>
      <c r="N95" t="str">
        <f>IF(AND(Tabelle2[[#This Row],[Umsatzpotenzial]]&gt;=1000,Tabelle2[[#This Row],[Umsatzpotenzial]]&lt;=50000), "OK","Fehler")</f>
        <v>OK</v>
      </c>
    </row>
    <row r="96" spans="1:14" x14ac:dyDescent="0.2">
      <c r="A96" s="1" t="s">
        <v>104</v>
      </c>
      <c r="B96" s="1" t="s">
        <v>211</v>
      </c>
      <c r="C96" s="1" t="s">
        <v>213</v>
      </c>
      <c r="D96" s="4">
        <v>46264</v>
      </c>
      <c r="E96" s="1" t="s">
        <v>221</v>
      </c>
      <c r="F96" s="1">
        <v>21025</v>
      </c>
      <c r="G96" s="1" t="s">
        <v>223</v>
      </c>
      <c r="H96" s="1">
        <v>513</v>
      </c>
      <c r="I96" s="1" t="s">
        <v>227</v>
      </c>
      <c r="J96" s="1" t="s">
        <v>229</v>
      </c>
      <c r="K96" s="2"/>
      <c r="L96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96" t="str">
        <f>IF(AND(Tabelle2[[#This Row],[Mitarbeiterzahl]]&gt;=10,H96&lt;=1000),"OK","Fehler")</f>
        <v>OK</v>
      </c>
      <c r="N96" t="str">
        <f>IF(AND(Tabelle2[[#This Row],[Umsatzpotenzial]]&gt;=1000,Tabelle2[[#This Row],[Umsatzpotenzial]]&lt;=50000), "OK","Fehler")</f>
        <v>OK</v>
      </c>
    </row>
    <row r="97" spans="1:14" x14ac:dyDescent="0.2">
      <c r="A97" s="2" t="s">
        <v>105</v>
      </c>
      <c r="B97" s="2" t="s">
        <v>210</v>
      </c>
      <c r="C97" s="2" t="s">
        <v>214</v>
      </c>
      <c r="D97" s="5">
        <v>46265</v>
      </c>
      <c r="E97" s="2" t="s">
        <v>222</v>
      </c>
      <c r="F97" s="2">
        <v>18993</v>
      </c>
      <c r="G97" s="2" t="s">
        <v>246</v>
      </c>
      <c r="H97" s="2">
        <v>718</v>
      </c>
      <c r="I97" s="2" t="s">
        <v>227</v>
      </c>
      <c r="J97" s="2" t="s">
        <v>229</v>
      </c>
      <c r="K97" s="2"/>
      <c r="L97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97" t="str">
        <f>IF(AND(Tabelle2[[#This Row],[Mitarbeiterzahl]]&gt;=10,H97&lt;=1000),"OK","Fehler")</f>
        <v>OK</v>
      </c>
      <c r="N97" t="str">
        <f>IF(AND(Tabelle2[[#This Row],[Umsatzpotenzial]]&gt;=1000,Tabelle2[[#This Row],[Umsatzpotenzial]]&lt;=50000), "OK","Fehler")</f>
        <v>OK</v>
      </c>
    </row>
    <row r="98" spans="1:14" x14ac:dyDescent="0.2">
      <c r="A98" s="1" t="s">
        <v>106</v>
      </c>
      <c r="B98" s="1" t="s">
        <v>212</v>
      </c>
      <c r="C98" s="1" t="s">
        <v>216</v>
      </c>
      <c r="D98" s="4">
        <v>46124</v>
      </c>
      <c r="E98" s="1" t="s">
        <v>221</v>
      </c>
      <c r="F98" s="1">
        <v>49807</v>
      </c>
      <c r="G98" s="1" t="s">
        <v>246</v>
      </c>
      <c r="H98" s="1">
        <v>215</v>
      </c>
      <c r="I98" s="1" t="s">
        <v>227</v>
      </c>
      <c r="J98" s="1" t="s">
        <v>231</v>
      </c>
      <c r="K98" s="2"/>
      <c r="L98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98" t="str">
        <f>IF(AND(Tabelle2[[#This Row],[Mitarbeiterzahl]]&gt;=10,H98&lt;=1000),"OK","Fehler")</f>
        <v>OK</v>
      </c>
      <c r="N98" t="str">
        <f>IF(AND(Tabelle2[[#This Row],[Umsatzpotenzial]]&gt;=1000,Tabelle2[[#This Row],[Umsatzpotenzial]]&lt;=50000), "OK","Fehler")</f>
        <v>OK</v>
      </c>
    </row>
    <row r="99" spans="1:14" x14ac:dyDescent="0.2">
      <c r="A99" s="2" t="s">
        <v>107</v>
      </c>
      <c r="B99" s="2" t="s">
        <v>210</v>
      </c>
      <c r="C99" s="2" t="s">
        <v>218</v>
      </c>
      <c r="D99" s="5">
        <v>46129</v>
      </c>
      <c r="E99" s="2" t="s">
        <v>221</v>
      </c>
      <c r="F99" s="2">
        <v>12701</v>
      </c>
      <c r="G99" s="2" t="s">
        <v>224</v>
      </c>
      <c r="H99" s="2">
        <v>915</v>
      </c>
      <c r="I99" s="2" t="s">
        <v>227</v>
      </c>
      <c r="J99" s="2" t="s">
        <v>232</v>
      </c>
      <c r="K99" s="2"/>
      <c r="L99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99" t="str">
        <f>IF(AND(Tabelle2[[#This Row],[Mitarbeiterzahl]]&gt;=10,H99&lt;=1000),"OK","Fehler")</f>
        <v>OK</v>
      </c>
      <c r="N99" t="str">
        <f>IF(AND(Tabelle2[[#This Row],[Umsatzpotenzial]]&gt;=1000,Tabelle2[[#This Row],[Umsatzpotenzial]]&lt;=50000), "OK","Fehler")</f>
        <v>OK</v>
      </c>
    </row>
    <row r="100" spans="1:14" x14ac:dyDescent="0.2">
      <c r="A100" s="1" t="s">
        <v>108</v>
      </c>
      <c r="B100" s="1" t="s">
        <v>212</v>
      </c>
      <c r="C100" s="1" t="s">
        <v>214</v>
      </c>
      <c r="D100" s="4">
        <v>46185</v>
      </c>
      <c r="E100" s="1" t="s">
        <v>222</v>
      </c>
      <c r="F100" s="1">
        <v>2309</v>
      </c>
      <c r="G100" s="1" t="s">
        <v>224</v>
      </c>
      <c r="H100" s="1">
        <v>805</v>
      </c>
      <c r="I100" s="1" t="s">
        <v>227</v>
      </c>
      <c r="J100" s="1" t="s">
        <v>230</v>
      </c>
      <c r="K100" s="2"/>
      <c r="L100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00" t="str">
        <f>IF(AND(Tabelle2[[#This Row],[Mitarbeiterzahl]]&gt;=10,H100&lt;=1000),"OK","Fehler")</f>
        <v>OK</v>
      </c>
      <c r="N100" t="str">
        <f>IF(AND(Tabelle2[[#This Row],[Umsatzpotenzial]]&gt;=1000,Tabelle2[[#This Row],[Umsatzpotenzial]]&lt;=50000), "OK","Fehler")</f>
        <v>OK</v>
      </c>
    </row>
    <row r="101" spans="1:14" x14ac:dyDescent="0.2">
      <c r="A101" s="2" t="s">
        <v>109</v>
      </c>
      <c r="B101" s="2" t="s">
        <v>233</v>
      </c>
      <c r="C101" s="2" t="s">
        <v>219</v>
      </c>
      <c r="D101" s="5">
        <v>46117</v>
      </c>
      <c r="E101" s="2" t="s">
        <v>221</v>
      </c>
      <c r="F101" s="2">
        <v>30132</v>
      </c>
      <c r="G101" s="2" t="s">
        <v>246</v>
      </c>
      <c r="H101" s="2">
        <v>377</v>
      </c>
      <c r="I101" s="2" t="s">
        <v>227</v>
      </c>
      <c r="J101" s="2" t="s">
        <v>231</v>
      </c>
      <c r="K101" s="2"/>
      <c r="L101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01" t="str">
        <f>IF(AND(Tabelle2[[#This Row],[Mitarbeiterzahl]]&gt;=10,H101&lt;=1000),"OK","Fehler")</f>
        <v>OK</v>
      </c>
      <c r="N101" t="str">
        <f>IF(AND(Tabelle2[[#This Row],[Umsatzpotenzial]]&gt;=1000,Tabelle2[[#This Row],[Umsatzpotenzial]]&lt;=50000), "OK","Fehler")</f>
        <v>OK</v>
      </c>
    </row>
    <row r="102" spans="1:14" x14ac:dyDescent="0.2">
      <c r="A102" s="1" t="s">
        <v>110</v>
      </c>
      <c r="B102" s="1" t="s">
        <v>211</v>
      </c>
      <c r="C102" s="1" t="s">
        <v>213</v>
      </c>
      <c r="D102" s="4">
        <v>46097</v>
      </c>
      <c r="E102" s="1" t="s">
        <v>220</v>
      </c>
      <c r="F102" s="1">
        <v>26809</v>
      </c>
      <c r="G102" s="1" t="s">
        <v>224</v>
      </c>
      <c r="H102" s="1">
        <v>766</v>
      </c>
      <c r="I102" s="1" t="s">
        <v>226</v>
      </c>
      <c r="J102" s="1" t="s">
        <v>229</v>
      </c>
      <c r="K102" s="2"/>
      <c r="L102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02" t="str">
        <f>IF(AND(Tabelle2[[#This Row],[Mitarbeiterzahl]]&gt;=10,H102&lt;=1000),"OK","Fehler")</f>
        <v>OK</v>
      </c>
      <c r="N102" t="str">
        <f>IF(AND(Tabelle2[[#This Row],[Umsatzpotenzial]]&gt;=1000,Tabelle2[[#This Row],[Umsatzpotenzial]]&lt;=50000), "OK","Fehler")</f>
        <v>OK</v>
      </c>
    </row>
    <row r="103" spans="1:14" x14ac:dyDescent="0.2">
      <c r="A103" s="2" t="s">
        <v>111</v>
      </c>
      <c r="B103" s="2" t="s">
        <v>212</v>
      </c>
      <c r="C103" s="2" t="s">
        <v>219</v>
      </c>
      <c r="D103" s="5">
        <v>46175</v>
      </c>
      <c r="E103" s="2" t="s">
        <v>220</v>
      </c>
      <c r="F103" s="2">
        <v>34468</v>
      </c>
      <c r="G103" s="2" t="s">
        <v>225</v>
      </c>
      <c r="H103" s="2">
        <v>165</v>
      </c>
      <c r="I103" s="2" t="s">
        <v>226</v>
      </c>
      <c r="J103" s="2" t="s">
        <v>230</v>
      </c>
      <c r="K103" s="2"/>
      <c r="L103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03" t="str">
        <f>IF(AND(Tabelle2[[#This Row],[Mitarbeiterzahl]]&gt;=10,H103&lt;=1000),"OK","Fehler")</f>
        <v>OK</v>
      </c>
      <c r="N103" t="str">
        <f>IF(AND(Tabelle2[[#This Row],[Umsatzpotenzial]]&gt;=1000,Tabelle2[[#This Row],[Umsatzpotenzial]]&lt;=50000), "OK","Fehler")</f>
        <v>OK</v>
      </c>
    </row>
    <row r="104" spans="1:14" x14ac:dyDescent="0.2">
      <c r="A104" s="1" t="s">
        <v>112</v>
      </c>
      <c r="B104" s="1" t="s">
        <v>234</v>
      </c>
      <c r="C104" s="1" t="s">
        <v>214</v>
      </c>
      <c r="D104" s="4">
        <v>46163</v>
      </c>
      <c r="E104" s="1" t="s">
        <v>221</v>
      </c>
      <c r="F104" s="1">
        <v>32772</v>
      </c>
      <c r="G104" s="1" t="s">
        <v>246</v>
      </c>
      <c r="H104" s="1">
        <v>79</v>
      </c>
      <c r="I104" s="1" t="s">
        <v>227</v>
      </c>
      <c r="J104" s="1" t="s">
        <v>232</v>
      </c>
      <c r="K104" s="2"/>
      <c r="L104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04" t="str">
        <f>IF(AND(Tabelle2[[#This Row],[Mitarbeiterzahl]]&gt;=10,H104&lt;=1000),"OK","Fehler")</f>
        <v>OK</v>
      </c>
      <c r="N104" t="str">
        <f>IF(AND(Tabelle2[[#This Row],[Umsatzpotenzial]]&gt;=1000,Tabelle2[[#This Row],[Umsatzpotenzial]]&lt;=50000), "OK","Fehler")</f>
        <v>OK</v>
      </c>
    </row>
    <row r="105" spans="1:14" x14ac:dyDescent="0.2">
      <c r="A105" s="2" t="s">
        <v>113</v>
      </c>
      <c r="B105" s="2" t="s">
        <v>212</v>
      </c>
      <c r="C105" s="2" t="s">
        <v>218</v>
      </c>
      <c r="D105" s="5">
        <v>46102</v>
      </c>
      <c r="E105" s="2" t="s">
        <v>221</v>
      </c>
      <c r="F105" s="2">
        <v>12273</v>
      </c>
      <c r="G105" s="2" t="s">
        <v>246</v>
      </c>
      <c r="H105" s="2">
        <v>621</v>
      </c>
      <c r="I105" s="2" t="s">
        <v>227</v>
      </c>
      <c r="J105" s="2" t="s">
        <v>229</v>
      </c>
      <c r="K105" s="2"/>
      <c r="L105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05" t="str">
        <f>IF(AND(Tabelle2[[#This Row],[Mitarbeiterzahl]]&gt;=10,H105&lt;=1000),"OK","Fehler")</f>
        <v>OK</v>
      </c>
      <c r="N105" t="str">
        <f>IF(AND(Tabelle2[[#This Row],[Umsatzpotenzial]]&gt;=1000,Tabelle2[[#This Row],[Umsatzpotenzial]]&lt;=50000), "OK","Fehler")</f>
        <v>OK</v>
      </c>
    </row>
    <row r="106" spans="1:14" x14ac:dyDescent="0.2">
      <c r="A106" s="1" t="s">
        <v>114</v>
      </c>
      <c r="B106" s="1" t="s">
        <v>234</v>
      </c>
      <c r="C106" s="1" t="s">
        <v>218</v>
      </c>
      <c r="D106" s="4">
        <v>46206</v>
      </c>
      <c r="E106" s="1" t="s">
        <v>221</v>
      </c>
      <c r="F106" s="1">
        <v>42837</v>
      </c>
      <c r="G106" s="1" t="s">
        <v>225</v>
      </c>
      <c r="H106" s="1">
        <v>661</v>
      </c>
      <c r="I106" s="1" t="s">
        <v>227</v>
      </c>
      <c r="J106" s="1" t="s">
        <v>232</v>
      </c>
      <c r="K106" s="2"/>
      <c r="L106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06" t="str">
        <f>IF(AND(Tabelle2[[#This Row],[Mitarbeiterzahl]]&gt;=10,H106&lt;=1000),"OK","Fehler")</f>
        <v>OK</v>
      </c>
      <c r="N106" t="str">
        <f>IF(AND(Tabelle2[[#This Row],[Umsatzpotenzial]]&gt;=1000,Tabelle2[[#This Row],[Umsatzpotenzial]]&lt;=50000), "OK","Fehler")</f>
        <v>OK</v>
      </c>
    </row>
    <row r="107" spans="1:14" x14ac:dyDescent="0.2">
      <c r="A107" s="2" t="s">
        <v>115</v>
      </c>
      <c r="B107" s="2" t="s">
        <v>212</v>
      </c>
      <c r="C107" s="2" t="s">
        <v>216</v>
      </c>
      <c r="D107" s="5">
        <v>46103</v>
      </c>
      <c r="E107" s="2" t="s">
        <v>222</v>
      </c>
      <c r="F107" s="2">
        <v>40935</v>
      </c>
      <c r="G107" s="2" t="s">
        <v>228</v>
      </c>
      <c r="H107" s="2">
        <v>41</v>
      </c>
      <c r="I107" s="2" t="s">
        <v>227</v>
      </c>
      <c r="J107" s="2" t="s">
        <v>231</v>
      </c>
      <c r="K107" s="2"/>
      <c r="L107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07" t="str">
        <f>IF(AND(Tabelle2[[#This Row],[Mitarbeiterzahl]]&gt;=10,H107&lt;=1000),"OK","Fehler")</f>
        <v>OK</v>
      </c>
      <c r="N107" t="str">
        <f>IF(AND(Tabelle2[[#This Row],[Umsatzpotenzial]]&gt;=1000,Tabelle2[[#This Row],[Umsatzpotenzial]]&lt;=50000), "OK","Fehler")</f>
        <v>OK</v>
      </c>
    </row>
    <row r="108" spans="1:14" x14ac:dyDescent="0.2">
      <c r="A108" s="1" t="s">
        <v>116</v>
      </c>
      <c r="B108" s="1" t="s">
        <v>233</v>
      </c>
      <c r="C108" s="1" t="s">
        <v>219</v>
      </c>
      <c r="D108" s="4">
        <v>46203</v>
      </c>
      <c r="E108" s="1" t="s">
        <v>222</v>
      </c>
      <c r="F108" s="1">
        <v>6293</v>
      </c>
      <c r="G108" s="1" t="s">
        <v>224</v>
      </c>
      <c r="H108" s="1">
        <v>937</v>
      </c>
      <c r="I108" s="1" t="s">
        <v>227</v>
      </c>
      <c r="J108" s="1" t="s">
        <v>229</v>
      </c>
      <c r="K108" s="2"/>
      <c r="L108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08" t="str">
        <f>IF(AND(Tabelle2[[#This Row],[Mitarbeiterzahl]]&gt;=10,H108&lt;=1000),"OK","Fehler")</f>
        <v>OK</v>
      </c>
      <c r="N108" t="str">
        <f>IF(AND(Tabelle2[[#This Row],[Umsatzpotenzial]]&gt;=1000,Tabelle2[[#This Row],[Umsatzpotenzial]]&lt;=50000), "OK","Fehler")</f>
        <v>OK</v>
      </c>
    </row>
    <row r="109" spans="1:14" x14ac:dyDescent="0.2">
      <c r="A109" s="2" t="s">
        <v>117</v>
      </c>
      <c r="B109" s="2" t="s">
        <v>212</v>
      </c>
      <c r="C109" s="2" t="s">
        <v>213</v>
      </c>
      <c r="D109" s="5">
        <v>46083</v>
      </c>
      <c r="E109" s="2" t="s">
        <v>220</v>
      </c>
      <c r="F109" s="2">
        <v>11559</v>
      </c>
      <c r="G109" s="2" t="s">
        <v>228</v>
      </c>
      <c r="H109" s="2">
        <v>253</v>
      </c>
      <c r="I109" s="2" t="s">
        <v>226</v>
      </c>
      <c r="J109" s="2" t="s">
        <v>232</v>
      </c>
      <c r="K109" s="2"/>
      <c r="L109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09" t="str">
        <f>IF(AND(Tabelle2[[#This Row],[Mitarbeiterzahl]]&gt;=10,H109&lt;=1000),"OK","Fehler")</f>
        <v>OK</v>
      </c>
      <c r="N109" t="str">
        <f>IF(AND(Tabelle2[[#This Row],[Umsatzpotenzial]]&gt;=1000,Tabelle2[[#This Row],[Umsatzpotenzial]]&lt;=50000), "OK","Fehler")</f>
        <v>OK</v>
      </c>
    </row>
    <row r="110" spans="1:14" x14ac:dyDescent="0.2">
      <c r="A110" s="1" t="s">
        <v>118</v>
      </c>
      <c r="B110" s="1" t="s">
        <v>234</v>
      </c>
      <c r="C110" s="1" t="s">
        <v>213</v>
      </c>
      <c r="D110" s="4">
        <v>46233</v>
      </c>
      <c r="E110" s="1" t="s">
        <v>221</v>
      </c>
      <c r="F110" s="1">
        <v>37017</v>
      </c>
      <c r="G110" s="1" t="s">
        <v>224</v>
      </c>
      <c r="H110" s="1">
        <v>413</v>
      </c>
      <c r="I110" s="1" t="s">
        <v>227</v>
      </c>
      <c r="J110" s="1" t="s">
        <v>232</v>
      </c>
      <c r="K110" s="2"/>
      <c r="L110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10" t="str">
        <f>IF(AND(Tabelle2[[#This Row],[Mitarbeiterzahl]]&gt;=10,H110&lt;=1000),"OK","Fehler")</f>
        <v>OK</v>
      </c>
      <c r="N110" t="str">
        <f>IF(AND(Tabelle2[[#This Row],[Umsatzpotenzial]]&gt;=1000,Tabelle2[[#This Row],[Umsatzpotenzial]]&lt;=50000), "OK","Fehler")</f>
        <v>OK</v>
      </c>
    </row>
    <row r="111" spans="1:14" x14ac:dyDescent="0.2">
      <c r="A111" s="2" t="s">
        <v>119</v>
      </c>
      <c r="B111" s="2" t="s">
        <v>211</v>
      </c>
      <c r="C111" s="2" t="s">
        <v>219</v>
      </c>
      <c r="D111" s="5">
        <v>46162</v>
      </c>
      <c r="E111" s="2" t="s">
        <v>222</v>
      </c>
      <c r="F111" s="2">
        <v>19697</v>
      </c>
      <c r="G111" s="2" t="s">
        <v>246</v>
      </c>
      <c r="H111" s="2">
        <v>285</v>
      </c>
      <c r="I111" s="2" t="s">
        <v>227</v>
      </c>
      <c r="J111" s="2" t="s">
        <v>230</v>
      </c>
      <c r="K111" s="2"/>
      <c r="L111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11" t="str">
        <f>IF(AND(Tabelle2[[#This Row],[Mitarbeiterzahl]]&gt;=10,H111&lt;=1000),"OK","Fehler")</f>
        <v>OK</v>
      </c>
      <c r="N111" t="str">
        <f>IF(AND(Tabelle2[[#This Row],[Umsatzpotenzial]]&gt;=1000,Tabelle2[[#This Row],[Umsatzpotenzial]]&lt;=50000), "OK","Fehler")</f>
        <v>OK</v>
      </c>
    </row>
    <row r="112" spans="1:14" x14ac:dyDescent="0.2">
      <c r="A112" s="1" t="s">
        <v>120</v>
      </c>
      <c r="B112" s="1" t="s">
        <v>210</v>
      </c>
      <c r="C112" s="1" t="s">
        <v>217</v>
      </c>
      <c r="D112" s="4">
        <v>46202</v>
      </c>
      <c r="E112" s="1" t="s">
        <v>220</v>
      </c>
      <c r="F112" s="1">
        <v>32713</v>
      </c>
      <c r="G112" s="1" t="s">
        <v>225</v>
      </c>
      <c r="H112" s="1">
        <v>230</v>
      </c>
      <c r="I112" s="1" t="s">
        <v>226</v>
      </c>
      <c r="J112" s="1" t="s">
        <v>230</v>
      </c>
      <c r="K112" s="2"/>
      <c r="L112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12" t="str">
        <f>IF(AND(Tabelle2[[#This Row],[Mitarbeiterzahl]]&gt;=10,H112&lt;=1000),"OK","Fehler")</f>
        <v>OK</v>
      </c>
      <c r="N112" t="str">
        <f>IF(AND(Tabelle2[[#This Row],[Umsatzpotenzial]]&gt;=1000,Tabelle2[[#This Row],[Umsatzpotenzial]]&lt;=50000), "OK","Fehler")</f>
        <v>OK</v>
      </c>
    </row>
    <row r="113" spans="1:14" x14ac:dyDescent="0.2">
      <c r="A113" s="2" t="s">
        <v>121</v>
      </c>
      <c r="B113" s="2" t="s">
        <v>210</v>
      </c>
      <c r="C113" s="2" t="s">
        <v>215</v>
      </c>
      <c r="D113" s="5">
        <v>46206</v>
      </c>
      <c r="E113" s="2" t="s">
        <v>221</v>
      </c>
      <c r="F113" s="2">
        <v>36726</v>
      </c>
      <c r="G113" s="2" t="s">
        <v>224</v>
      </c>
      <c r="H113" s="2">
        <v>963</v>
      </c>
      <c r="I113" s="2" t="s">
        <v>227</v>
      </c>
      <c r="J113" s="2" t="s">
        <v>230</v>
      </c>
      <c r="K113" s="2"/>
      <c r="L113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13" t="str">
        <f>IF(AND(Tabelle2[[#This Row],[Mitarbeiterzahl]]&gt;=10,H113&lt;=1000),"OK","Fehler")</f>
        <v>OK</v>
      </c>
      <c r="N113" t="str">
        <f>IF(AND(Tabelle2[[#This Row],[Umsatzpotenzial]]&gt;=1000,Tabelle2[[#This Row],[Umsatzpotenzial]]&lt;=50000), "OK","Fehler")</f>
        <v>OK</v>
      </c>
    </row>
    <row r="114" spans="1:14" x14ac:dyDescent="0.2">
      <c r="A114" s="1" t="s">
        <v>122</v>
      </c>
      <c r="B114" s="1" t="s">
        <v>234</v>
      </c>
      <c r="C114" s="1" t="s">
        <v>215</v>
      </c>
      <c r="D114" s="4">
        <v>46105</v>
      </c>
      <c r="E114" s="1" t="s">
        <v>220</v>
      </c>
      <c r="F114" s="1">
        <v>30859</v>
      </c>
      <c r="G114" s="1" t="s">
        <v>223</v>
      </c>
      <c r="H114" s="1">
        <v>286</v>
      </c>
      <c r="I114" s="1" t="s">
        <v>226</v>
      </c>
      <c r="J114" s="1" t="s">
        <v>232</v>
      </c>
      <c r="K114" s="2"/>
      <c r="L114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14" t="str">
        <f>IF(AND(Tabelle2[[#This Row],[Mitarbeiterzahl]]&gt;=10,H114&lt;=1000),"OK","Fehler")</f>
        <v>OK</v>
      </c>
      <c r="N114" t="str">
        <f>IF(AND(Tabelle2[[#This Row],[Umsatzpotenzial]]&gt;=1000,Tabelle2[[#This Row],[Umsatzpotenzial]]&lt;=50000), "OK","Fehler")</f>
        <v>OK</v>
      </c>
    </row>
    <row r="115" spans="1:14" x14ac:dyDescent="0.2">
      <c r="A115" s="2" t="s">
        <v>123</v>
      </c>
      <c r="B115" s="2" t="s">
        <v>233</v>
      </c>
      <c r="C115" s="2" t="s">
        <v>217</v>
      </c>
      <c r="D115" s="5">
        <v>46157</v>
      </c>
      <c r="E115" s="2" t="s">
        <v>221</v>
      </c>
      <c r="F115" s="2">
        <v>32771</v>
      </c>
      <c r="G115" s="2" t="s">
        <v>223</v>
      </c>
      <c r="H115" s="2">
        <v>742</v>
      </c>
      <c r="I115" s="2" t="s">
        <v>227</v>
      </c>
      <c r="J115" s="2" t="s">
        <v>230</v>
      </c>
      <c r="K115" s="2"/>
      <c r="L115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15" t="str">
        <f>IF(AND(Tabelle2[[#This Row],[Mitarbeiterzahl]]&gt;=10,H115&lt;=1000),"OK","Fehler")</f>
        <v>OK</v>
      </c>
      <c r="N115" t="str">
        <f>IF(AND(Tabelle2[[#This Row],[Umsatzpotenzial]]&gt;=1000,Tabelle2[[#This Row],[Umsatzpotenzial]]&lt;=50000), "OK","Fehler")</f>
        <v>OK</v>
      </c>
    </row>
    <row r="116" spans="1:14" x14ac:dyDescent="0.2">
      <c r="A116" s="1" t="s">
        <v>124</v>
      </c>
      <c r="B116" s="1" t="s">
        <v>234</v>
      </c>
      <c r="C116" s="1" t="s">
        <v>215</v>
      </c>
      <c r="D116" s="4">
        <v>46177</v>
      </c>
      <c r="E116" s="1" t="s">
        <v>221</v>
      </c>
      <c r="F116" s="1">
        <v>47107</v>
      </c>
      <c r="G116" s="1" t="s">
        <v>223</v>
      </c>
      <c r="H116" s="1">
        <v>348</v>
      </c>
      <c r="I116" s="1" t="s">
        <v>227</v>
      </c>
      <c r="J116" s="1" t="s">
        <v>229</v>
      </c>
      <c r="K116" s="2"/>
      <c r="L116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16" t="str">
        <f>IF(AND(Tabelle2[[#This Row],[Mitarbeiterzahl]]&gt;=10,H116&lt;=1000),"OK","Fehler")</f>
        <v>OK</v>
      </c>
      <c r="N116" t="str">
        <f>IF(AND(Tabelle2[[#This Row],[Umsatzpotenzial]]&gt;=1000,Tabelle2[[#This Row],[Umsatzpotenzial]]&lt;=50000), "OK","Fehler")</f>
        <v>OK</v>
      </c>
    </row>
    <row r="117" spans="1:14" x14ac:dyDescent="0.2">
      <c r="A117" s="2" t="s">
        <v>125</v>
      </c>
      <c r="B117" s="2" t="s">
        <v>233</v>
      </c>
      <c r="C117" s="2" t="s">
        <v>214</v>
      </c>
      <c r="D117" s="5">
        <v>46248</v>
      </c>
      <c r="E117" s="2" t="s">
        <v>220</v>
      </c>
      <c r="F117" s="2">
        <v>47786</v>
      </c>
      <c r="G117" s="2" t="s">
        <v>246</v>
      </c>
      <c r="H117" s="2">
        <v>361</v>
      </c>
      <c r="I117" s="2" t="s">
        <v>226</v>
      </c>
      <c r="J117" s="2" t="s">
        <v>229</v>
      </c>
      <c r="K117" s="2"/>
      <c r="L117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17" t="str">
        <f>IF(AND(Tabelle2[[#This Row],[Mitarbeiterzahl]]&gt;=10,H117&lt;=1000),"OK","Fehler")</f>
        <v>OK</v>
      </c>
      <c r="N117" t="str">
        <f>IF(AND(Tabelle2[[#This Row],[Umsatzpotenzial]]&gt;=1000,Tabelle2[[#This Row],[Umsatzpotenzial]]&lt;=50000), "OK","Fehler")</f>
        <v>OK</v>
      </c>
    </row>
    <row r="118" spans="1:14" x14ac:dyDescent="0.2">
      <c r="A118" s="1" t="s">
        <v>126</v>
      </c>
      <c r="B118" s="1" t="s">
        <v>211</v>
      </c>
      <c r="C118" s="1" t="s">
        <v>218</v>
      </c>
      <c r="D118" s="4">
        <v>46180</v>
      </c>
      <c r="E118" s="1" t="s">
        <v>221</v>
      </c>
      <c r="F118" s="1">
        <v>39459</v>
      </c>
      <c r="G118" s="1" t="s">
        <v>246</v>
      </c>
      <c r="H118" s="1">
        <v>198</v>
      </c>
      <c r="I118" s="1" t="s">
        <v>227</v>
      </c>
      <c r="J118" s="1" t="s">
        <v>232</v>
      </c>
      <c r="K118" s="2"/>
      <c r="L118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18" t="str">
        <f>IF(AND(Tabelle2[[#This Row],[Mitarbeiterzahl]]&gt;=10,H118&lt;=1000),"OK","Fehler")</f>
        <v>OK</v>
      </c>
      <c r="N118" t="str">
        <f>IF(AND(Tabelle2[[#This Row],[Umsatzpotenzial]]&gt;=1000,Tabelle2[[#This Row],[Umsatzpotenzial]]&lt;=50000), "OK","Fehler")</f>
        <v>OK</v>
      </c>
    </row>
    <row r="119" spans="1:14" x14ac:dyDescent="0.2">
      <c r="A119" s="2" t="s">
        <v>127</v>
      </c>
      <c r="B119" s="2" t="s">
        <v>210</v>
      </c>
      <c r="C119" s="2" t="s">
        <v>219</v>
      </c>
      <c r="D119" s="5">
        <v>46188</v>
      </c>
      <c r="E119" s="2" t="s">
        <v>221</v>
      </c>
      <c r="F119" s="2">
        <v>34006</v>
      </c>
      <c r="G119" s="2" t="s">
        <v>228</v>
      </c>
      <c r="H119" s="2">
        <v>760</v>
      </c>
      <c r="I119" s="2" t="s">
        <v>227</v>
      </c>
      <c r="J119" s="2" t="s">
        <v>231</v>
      </c>
      <c r="K119" s="2"/>
      <c r="L119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19" t="str">
        <f>IF(AND(Tabelle2[[#This Row],[Mitarbeiterzahl]]&gt;=10,H119&lt;=1000),"OK","Fehler")</f>
        <v>OK</v>
      </c>
      <c r="N119" t="str">
        <f>IF(AND(Tabelle2[[#This Row],[Umsatzpotenzial]]&gt;=1000,Tabelle2[[#This Row],[Umsatzpotenzial]]&lt;=50000), "OK","Fehler")</f>
        <v>OK</v>
      </c>
    </row>
    <row r="120" spans="1:14" x14ac:dyDescent="0.2">
      <c r="A120" s="1" t="s">
        <v>128</v>
      </c>
      <c r="B120" s="1" t="s">
        <v>211</v>
      </c>
      <c r="C120" s="1" t="s">
        <v>217</v>
      </c>
      <c r="D120" s="4">
        <v>46108</v>
      </c>
      <c r="E120" s="1" t="s">
        <v>222</v>
      </c>
      <c r="F120" s="1">
        <v>21047</v>
      </c>
      <c r="G120" s="1" t="s">
        <v>224</v>
      </c>
      <c r="H120" s="1">
        <v>196</v>
      </c>
      <c r="I120" s="1" t="s">
        <v>227</v>
      </c>
      <c r="J120" s="1" t="s">
        <v>230</v>
      </c>
      <c r="K120" s="2"/>
      <c r="L120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20" t="str">
        <f>IF(AND(Tabelle2[[#This Row],[Mitarbeiterzahl]]&gt;=10,H120&lt;=1000),"OK","Fehler")</f>
        <v>OK</v>
      </c>
      <c r="N120" t="str">
        <f>IF(AND(Tabelle2[[#This Row],[Umsatzpotenzial]]&gt;=1000,Tabelle2[[#This Row],[Umsatzpotenzial]]&lt;=50000), "OK","Fehler")</f>
        <v>OK</v>
      </c>
    </row>
    <row r="121" spans="1:14" x14ac:dyDescent="0.2">
      <c r="A121" s="2" t="s">
        <v>129</v>
      </c>
      <c r="B121" s="2" t="s">
        <v>233</v>
      </c>
      <c r="C121" s="2" t="s">
        <v>217</v>
      </c>
      <c r="D121" s="5">
        <v>46116</v>
      </c>
      <c r="E121" s="2" t="s">
        <v>222</v>
      </c>
      <c r="F121" s="2">
        <v>38233</v>
      </c>
      <c r="G121" s="2" t="s">
        <v>223</v>
      </c>
      <c r="H121" s="2">
        <v>763</v>
      </c>
      <c r="I121" s="2" t="s">
        <v>227</v>
      </c>
      <c r="J121" s="2" t="s">
        <v>231</v>
      </c>
      <c r="K121" s="2"/>
      <c r="L121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21" t="str">
        <f>IF(AND(Tabelle2[[#This Row],[Mitarbeiterzahl]]&gt;=10,H121&lt;=1000),"OK","Fehler")</f>
        <v>OK</v>
      </c>
      <c r="N121" t="str">
        <f>IF(AND(Tabelle2[[#This Row],[Umsatzpotenzial]]&gt;=1000,Tabelle2[[#This Row],[Umsatzpotenzial]]&lt;=50000), "OK","Fehler")</f>
        <v>OK</v>
      </c>
    </row>
    <row r="122" spans="1:14" x14ac:dyDescent="0.2">
      <c r="A122" s="1" t="s">
        <v>130</v>
      </c>
      <c r="B122" s="1" t="s">
        <v>234</v>
      </c>
      <c r="C122" s="1" t="s">
        <v>214</v>
      </c>
      <c r="D122" s="4">
        <v>46207</v>
      </c>
      <c r="E122" s="1" t="s">
        <v>222</v>
      </c>
      <c r="F122" s="1">
        <v>44954</v>
      </c>
      <c r="G122" s="1" t="s">
        <v>223</v>
      </c>
      <c r="H122" s="1">
        <v>344</v>
      </c>
      <c r="I122" s="1" t="s">
        <v>227</v>
      </c>
      <c r="J122" s="1" t="s">
        <v>232</v>
      </c>
      <c r="K122" s="2"/>
      <c r="L122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22" t="str">
        <f>IF(AND(Tabelle2[[#This Row],[Mitarbeiterzahl]]&gt;=10,H122&lt;=1000),"OK","Fehler")</f>
        <v>OK</v>
      </c>
      <c r="N122" t="str">
        <f>IF(AND(Tabelle2[[#This Row],[Umsatzpotenzial]]&gt;=1000,Tabelle2[[#This Row],[Umsatzpotenzial]]&lt;=50000), "OK","Fehler")</f>
        <v>OK</v>
      </c>
    </row>
    <row r="123" spans="1:14" x14ac:dyDescent="0.2">
      <c r="A123" s="2" t="s">
        <v>131</v>
      </c>
      <c r="B123" s="2" t="s">
        <v>212</v>
      </c>
      <c r="C123" s="2" t="s">
        <v>213</v>
      </c>
      <c r="D123" s="5">
        <v>46184</v>
      </c>
      <c r="E123" s="2" t="s">
        <v>220</v>
      </c>
      <c r="F123" s="2">
        <v>11605</v>
      </c>
      <c r="G123" s="2" t="s">
        <v>223</v>
      </c>
      <c r="H123" s="2">
        <v>71</v>
      </c>
      <c r="I123" s="2" t="s">
        <v>226</v>
      </c>
      <c r="J123" s="2" t="s">
        <v>231</v>
      </c>
      <c r="K123" s="2"/>
      <c r="L123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23" t="str">
        <f>IF(AND(Tabelle2[[#This Row],[Mitarbeiterzahl]]&gt;=10,H123&lt;=1000),"OK","Fehler")</f>
        <v>OK</v>
      </c>
      <c r="N123" t="str">
        <f>IF(AND(Tabelle2[[#This Row],[Umsatzpotenzial]]&gt;=1000,Tabelle2[[#This Row],[Umsatzpotenzial]]&lt;=50000), "OK","Fehler")</f>
        <v>OK</v>
      </c>
    </row>
    <row r="124" spans="1:14" x14ac:dyDescent="0.2">
      <c r="A124" s="1" t="s">
        <v>132</v>
      </c>
      <c r="B124" s="1" t="s">
        <v>233</v>
      </c>
      <c r="C124" s="1" t="s">
        <v>214</v>
      </c>
      <c r="D124" s="4">
        <v>46249</v>
      </c>
      <c r="E124" s="1" t="s">
        <v>222</v>
      </c>
      <c r="F124" s="1">
        <v>40611</v>
      </c>
      <c r="G124" s="1" t="s">
        <v>224</v>
      </c>
      <c r="H124" s="1">
        <v>135</v>
      </c>
      <c r="I124" s="1" t="s">
        <v>227</v>
      </c>
      <c r="J124" s="1" t="s">
        <v>231</v>
      </c>
      <c r="K124" s="2"/>
      <c r="L124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24" t="str">
        <f>IF(AND(Tabelle2[[#This Row],[Mitarbeiterzahl]]&gt;=10,H124&lt;=1000),"OK","Fehler")</f>
        <v>OK</v>
      </c>
      <c r="N124" t="str">
        <f>IF(AND(Tabelle2[[#This Row],[Umsatzpotenzial]]&gt;=1000,Tabelle2[[#This Row],[Umsatzpotenzial]]&lt;=50000), "OK","Fehler")</f>
        <v>OK</v>
      </c>
    </row>
    <row r="125" spans="1:14" x14ac:dyDescent="0.2">
      <c r="A125" s="2" t="s">
        <v>133</v>
      </c>
      <c r="B125" s="2" t="s">
        <v>210</v>
      </c>
      <c r="C125" s="2" t="s">
        <v>213</v>
      </c>
      <c r="D125" s="5">
        <v>46101</v>
      </c>
      <c r="E125" s="2" t="s">
        <v>220</v>
      </c>
      <c r="F125" s="2">
        <v>2429</v>
      </c>
      <c r="G125" s="2" t="s">
        <v>224</v>
      </c>
      <c r="H125" s="2">
        <v>490</v>
      </c>
      <c r="I125" s="2" t="s">
        <v>226</v>
      </c>
      <c r="J125" s="2" t="s">
        <v>230</v>
      </c>
      <c r="K125" s="2"/>
      <c r="L125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25" t="str">
        <f>IF(AND(Tabelle2[[#This Row],[Mitarbeiterzahl]]&gt;=10,H125&lt;=1000),"OK","Fehler")</f>
        <v>OK</v>
      </c>
      <c r="N125" t="str">
        <f>IF(AND(Tabelle2[[#This Row],[Umsatzpotenzial]]&gt;=1000,Tabelle2[[#This Row],[Umsatzpotenzial]]&lt;=50000), "OK","Fehler")</f>
        <v>OK</v>
      </c>
    </row>
    <row r="126" spans="1:14" x14ac:dyDescent="0.2">
      <c r="A126" s="1" t="s">
        <v>134</v>
      </c>
      <c r="B126" s="1" t="s">
        <v>234</v>
      </c>
      <c r="C126" s="1" t="s">
        <v>218</v>
      </c>
      <c r="D126" s="4">
        <v>46196</v>
      </c>
      <c r="E126" s="1" t="s">
        <v>220</v>
      </c>
      <c r="F126" s="1">
        <v>31659</v>
      </c>
      <c r="G126" s="1" t="s">
        <v>223</v>
      </c>
      <c r="H126" s="1">
        <v>315</v>
      </c>
      <c r="I126" s="1" t="s">
        <v>226</v>
      </c>
      <c r="J126" s="1" t="s">
        <v>231</v>
      </c>
      <c r="K126" s="2"/>
      <c r="L126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26" t="str">
        <f>IF(AND(Tabelle2[[#This Row],[Mitarbeiterzahl]]&gt;=10,H126&lt;=1000),"OK","Fehler")</f>
        <v>OK</v>
      </c>
      <c r="N126" t="str">
        <f>IF(AND(Tabelle2[[#This Row],[Umsatzpotenzial]]&gt;=1000,Tabelle2[[#This Row],[Umsatzpotenzial]]&lt;=50000), "OK","Fehler")</f>
        <v>OK</v>
      </c>
    </row>
    <row r="127" spans="1:14" x14ac:dyDescent="0.2">
      <c r="A127" s="2" t="s">
        <v>135</v>
      </c>
      <c r="B127" s="2" t="s">
        <v>212</v>
      </c>
      <c r="C127" s="2" t="s">
        <v>215</v>
      </c>
      <c r="D127" s="5">
        <v>46195</v>
      </c>
      <c r="E127" s="2" t="s">
        <v>220</v>
      </c>
      <c r="F127" s="2">
        <v>33408</v>
      </c>
      <c r="G127" s="2" t="s">
        <v>224</v>
      </c>
      <c r="H127" s="2">
        <v>848</v>
      </c>
      <c r="I127" s="2" t="s">
        <v>226</v>
      </c>
      <c r="J127" s="2" t="s">
        <v>229</v>
      </c>
      <c r="K127" s="2"/>
      <c r="L127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27" t="str">
        <f>IF(AND(Tabelle2[[#This Row],[Mitarbeiterzahl]]&gt;=10,H127&lt;=1000),"OK","Fehler")</f>
        <v>OK</v>
      </c>
      <c r="N127" t="str">
        <f>IF(AND(Tabelle2[[#This Row],[Umsatzpotenzial]]&gt;=1000,Tabelle2[[#This Row],[Umsatzpotenzial]]&lt;=50000), "OK","Fehler")</f>
        <v>OK</v>
      </c>
    </row>
    <row r="128" spans="1:14" x14ac:dyDescent="0.2">
      <c r="A128" s="1" t="s">
        <v>136</v>
      </c>
      <c r="B128" s="1" t="s">
        <v>211</v>
      </c>
      <c r="C128" s="1" t="s">
        <v>214</v>
      </c>
      <c r="D128" s="4">
        <v>46194</v>
      </c>
      <c r="E128" s="1" t="s">
        <v>220</v>
      </c>
      <c r="F128" s="1">
        <v>49190</v>
      </c>
      <c r="G128" s="1" t="s">
        <v>246</v>
      </c>
      <c r="H128" s="1">
        <v>178</v>
      </c>
      <c r="I128" s="1" t="s">
        <v>226</v>
      </c>
      <c r="J128" s="1" t="s">
        <v>229</v>
      </c>
      <c r="K128" s="2"/>
      <c r="L128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28" t="str">
        <f>IF(AND(Tabelle2[[#This Row],[Mitarbeiterzahl]]&gt;=10,H128&lt;=1000),"OK","Fehler")</f>
        <v>OK</v>
      </c>
      <c r="N128" t="str">
        <f>IF(AND(Tabelle2[[#This Row],[Umsatzpotenzial]]&gt;=1000,Tabelle2[[#This Row],[Umsatzpotenzial]]&lt;=50000), "OK","Fehler")</f>
        <v>OK</v>
      </c>
    </row>
    <row r="129" spans="1:14" x14ac:dyDescent="0.2">
      <c r="A129" s="2" t="s">
        <v>137</v>
      </c>
      <c r="B129" s="2" t="s">
        <v>210</v>
      </c>
      <c r="C129" s="2" t="s">
        <v>216</v>
      </c>
      <c r="D129" s="5">
        <v>46256</v>
      </c>
      <c r="E129" s="2" t="s">
        <v>222</v>
      </c>
      <c r="F129" s="2">
        <v>33102</v>
      </c>
      <c r="G129" s="2" t="s">
        <v>228</v>
      </c>
      <c r="H129" s="2">
        <v>354</v>
      </c>
      <c r="I129" s="2" t="s">
        <v>227</v>
      </c>
      <c r="J129" s="2" t="s">
        <v>229</v>
      </c>
      <c r="K129" s="2"/>
      <c r="L129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29" t="str">
        <f>IF(AND(Tabelle2[[#This Row],[Mitarbeiterzahl]]&gt;=10,H129&lt;=1000),"OK","Fehler")</f>
        <v>OK</v>
      </c>
      <c r="N129" t="str">
        <f>IF(AND(Tabelle2[[#This Row],[Umsatzpotenzial]]&gt;=1000,Tabelle2[[#This Row],[Umsatzpotenzial]]&lt;=50000), "OK","Fehler")</f>
        <v>OK</v>
      </c>
    </row>
    <row r="130" spans="1:14" x14ac:dyDescent="0.2">
      <c r="A130" s="1" t="s">
        <v>138</v>
      </c>
      <c r="B130" s="1" t="s">
        <v>233</v>
      </c>
      <c r="C130" s="1" t="s">
        <v>213</v>
      </c>
      <c r="D130" s="4">
        <v>46150</v>
      </c>
      <c r="E130" s="1" t="s">
        <v>220</v>
      </c>
      <c r="F130" s="1">
        <v>36865</v>
      </c>
      <c r="G130" s="1" t="s">
        <v>225</v>
      </c>
      <c r="H130" s="1">
        <v>65</v>
      </c>
      <c r="I130" s="1" t="s">
        <v>226</v>
      </c>
      <c r="J130" s="1" t="s">
        <v>230</v>
      </c>
      <c r="K130" s="2"/>
      <c r="L130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30" t="str">
        <f>IF(AND(Tabelle2[[#This Row],[Mitarbeiterzahl]]&gt;=10,H130&lt;=1000),"OK","Fehler")</f>
        <v>OK</v>
      </c>
      <c r="N130" t="str">
        <f>IF(AND(Tabelle2[[#This Row],[Umsatzpotenzial]]&gt;=1000,Tabelle2[[#This Row],[Umsatzpotenzial]]&lt;=50000), "OK","Fehler")</f>
        <v>OK</v>
      </c>
    </row>
    <row r="131" spans="1:14" x14ac:dyDescent="0.2">
      <c r="A131" s="2" t="s">
        <v>139</v>
      </c>
      <c r="B131" s="2" t="s">
        <v>210</v>
      </c>
      <c r="C131" s="2" t="s">
        <v>214</v>
      </c>
      <c r="D131" s="5">
        <v>46096</v>
      </c>
      <c r="E131" s="2" t="s">
        <v>221</v>
      </c>
      <c r="F131" s="2">
        <v>26496</v>
      </c>
      <c r="G131" s="2" t="s">
        <v>225</v>
      </c>
      <c r="H131" s="2">
        <v>564</v>
      </c>
      <c r="I131" s="2" t="s">
        <v>227</v>
      </c>
      <c r="J131" s="2" t="s">
        <v>231</v>
      </c>
      <c r="K131" s="2"/>
      <c r="L131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31" t="str">
        <f>IF(AND(Tabelle2[[#This Row],[Mitarbeiterzahl]]&gt;=10,H131&lt;=1000),"OK","Fehler")</f>
        <v>OK</v>
      </c>
      <c r="N131" t="str">
        <f>IF(AND(Tabelle2[[#This Row],[Umsatzpotenzial]]&gt;=1000,Tabelle2[[#This Row],[Umsatzpotenzial]]&lt;=50000), "OK","Fehler")</f>
        <v>OK</v>
      </c>
    </row>
    <row r="132" spans="1:14" x14ac:dyDescent="0.2">
      <c r="A132" s="1" t="s">
        <v>140</v>
      </c>
      <c r="B132" s="1" t="s">
        <v>211</v>
      </c>
      <c r="C132" s="1" t="s">
        <v>219</v>
      </c>
      <c r="D132" s="4">
        <v>46171</v>
      </c>
      <c r="E132" s="1" t="s">
        <v>220</v>
      </c>
      <c r="F132" s="1">
        <v>40030</v>
      </c>
      <c r="G132" s="1" t="s">
        <v>246</v>
      </c>
      <c r="H132" s="1">
        <v>757</v>
      </c>
      <c r="I132" s="1" t="s">
        <v>226</v>
      </c>
      <c r="J132" s="1" t="s">
        <v>231</v>
      </c>
      <c r="K132" s="2"/>
      <c r="L132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32" t="str">
        <f>IF(AND(Tabelle2[[#This Row],[Mitarbeiterzahl]]&gt;=10,H132&lt;=1000),"OK","Fehler")</f>
        <v>OK</v>
      </c>
      <c r="N132" t="str">
        <f>IF(AND(Tabelle2[[#This Row],[Umsatzpotenzial]]&gt;=1000,Tabelle2[[#This Row],[Umsatzpotenzial]]&lt;=50000), "OK","Fehler")</f>
        <v>OK</v>
      </c>
    </row>
    <row r="133" spans="1:14" x14ac:dyDescent="0.2">
      <c r="A133" s="2" t="s">
        <v>141</v>
      </c>
      <c r="B133" s="2" t="s">
        <v>212</v>
      </c>
      <c r="C133" s="2" t="s">
        <v>218</v>
      </c>
      <c r="D133" s="5">
        <v>46128</v>
      </c>
      <c r="E133" s="2" t="s">
        <v>222</v>
      </c>
      <c r="F133" s="2">
        <v>12977</v>
      </c>
      <c r="G133" s="2" t="s">
        <v>225</v>
      </c>
      <c r="H133" s="2">
        <v>66</v>
      </c>
      <c r="I133" s="2" t="s">
        <v>227</v>
      </c>
      <c r="J133" s="2" t="s">
        <v>231</v>
      </c>
      <c r="K133" s="2"/>
      <c r="L133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33" t="str">
        <f>IF(AND(Tabelle2[[#This Row],[Mitarbeiterzahl]]&gt;=10,H133&lt;=1000),"OK","Fehler")</f>
        <v>OK</v>
      </c>
      <c r="N133" t="str">
        <f>IF(AND(Tabelle2[[#This Row],[Umsatzpotenzial]]&gt;=1000,Tabelle2[[#This Row],[Umsatzpotenzial]]&lt;=50000), "OK","Fehler")</f>
        <v>OK</v>
      </c>
    </row>
    <row r="134" spans="1:14" x14ac:dyDescent="0.2">
      <c r="A134" s="1" t="s">
        <v>142</v>
      </c>
      <c r="B134" s="1" t="s">
        <v>212</v>
      </c>
      <c r="C134" s="1" t="s">
        <v>216</v>
      </c>
      <c r="D134" s="4">
        <v>46168</v>
      </c>
      <c r="E134" s="1" t="s">
        <v>221</v>
      </c>
      <c r="F134" s="1">
        <v>49303</v>
      </c>
      <c r="G134" s="1" t="s">
        <v>225</v>
      </c>
      <c r="H134" s="1">
        <v>96</v>
      </c>
      <c r="I134" s="1" t="s">
        <v>227</v>
      </c>
      <c r="J134" s="1" t="s">
        <v>231</v>
      </c>
      <c r="K134" s="2"/>
      <c r="L134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34" t="str">
        <f>IF(AND(Tabelle2[[#This Row],[Mitarbeiterzahl]]&gt;=10,H134&lt;=1000),"OK","Fehler")</f>
        <v>OK</v>
      </c>
      <c r="N134" t="str">
        <f>IF(AND(Tabelle2[[#This Row],[Umsatzpotenzial]]&gt;=1000,Tabelle2[[#This Row],[Umsatzpotenzial]]&lt;=50000), "OK","Fehler")</f>
        <v>OK</v>
      </c>
    </row>
    <row r="135" spans="1:14" x14ac:dyDescent="0.2">
      <c r="A135" s="2" t="s">
        <v>143</v>
      </c>
      <c r="B135" s="2" t="s">
        <v>233</v>
      </c>
      <c r="C135" s="2" t="s">
        <v>217</v>
      </c>
      <c r="D135" s="5">
        <v>46168</v>
      </c>
      <c r="E135" s="2" t="s">
        <v>222</v>
      </c>
      <c r="F135" s="2">
        <v>10817</v>
      </c>
      <c r="G135" s="2" t="s">
        <v>225</v>
      </c>
      <c r="H135" s="2">
        <v>133</v>
      </c>
      <c r="I135" s="2" t="s">
        <v>227</v>
      </c>
      <c r="J135" s="2" t="s">
        <v>232</v>
      </c>
      <c r="K135" s="2"/>
      <c r="L135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35" t="str">
        <f>IF(AND(Tabelle2[[#This Row],[Mitarbeiterzahl]]&gt;=10,H135&lt;=1000),"OK","Fehler")</f>
        <v>OK</v>
      </c>
      <c r="N135" t="str">
        <f>IF(AND(Tabelle2[[#This Row],[Umsatzpotenzial]]&gt;=1000,Tabelle2[[#This Row],[Umsatzpotenzial]]&lt;=50000), "OK","Fehler")</f>
        <v>OK</v>
      </c>
    </row>
    <row r="136" spans="1:14" x14ac:dyDescent="0.2">
      <c r="A136" s="1" t="s">
        <v>144</v>
      </c>
      <c r="B136" s="1" t="s">
        <v>233</v>
      </c>
      <c r="C136" s="1" t="s">
        <v>213</v>
      </c>
      <c r="D136" s="4">
        <v>46106</v>
      </c>
      <c r="E136" s="1" t="s">
        <v>220</v>
      </c>
      <c r="F136" s="1">
        <v>47584</v>
      </c>
      <c r="G136" s="1" t="s">
        <v>228</v>
      </c>
      <c r="H136" s="1">
        <v>880</v>
      </c>
      <c r="I136" s="1" t="s">
        <v>226</v>
      </c>
      <c r="J136" s="1" t="s">
        <v>230</v>
      </c>
      <c r="K136" s="2"/>
      <c r="L136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36" t="str">
        <f>IF(AND(Tabelle2[[#This Row],[Mitarbeiterzahl]]&gt;=10,H136&lt;=1000),"OK","Fehler")</f>
        <v>OK</v>
      </c>
      <c r="N136" t="str">
        <f>IF(AND(Tabelle2[[#This Row],[Umsatzpotenzial]]&gt;=1000,Tabelle2[[#This Row],[Umsatzpotenzial]]&lt;=50000), "OK","Fehler")</f>
        <v>OK</v>
      </c>
    </row>
    <row r="137" spans="1:14" x14ac:dyDescent="0.2">
      <c r="A137" s="2" t="s">
        <v>145</v>
      </c>
      <c r="B137" s="2" t="s">
        <v>211</v>
      </c>
      <c r="C137" s="2" t="s">
        <v>214</v>
      </c>
      <c r="D137" s="5">
        <v>46105</v>
      </c>
      <c r="E137" s="2" t="s">
        <v>222</v>
      </c>
      <c r="F137" s="2">
        <v>10621</v>
      </c>
      <c r="G137" s="2" t="s">
        <v>246</v>
      </c>
      <c r="H137" s="2">
        <v>19</v>
      </c>
      <c r="I137" s="2" t="s">
        <v>227</v>
      </c>
      <c r="J137" s="2" t="s">
        <v>232</v>
      </c>
      <c r="K137" s="2"/>
      <c r="L137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37" t="str">
        <f>IF(AND(Tabelle2[[#This Row],[Mitarbeiterzahl]]&gt;=10,H137&lt;=1000),"OK","Fehler")</f>
        <v>OK</v>
      </c>
      <c r="N137" t="str">
        <f>IF(AND(Tabelle2[[#This Row],[Umsatzpotenzial]]&gt;=1000,Tabelle2[[#This Row],[Umsatzpotenzial]]&lt;=50000), "OK","Fehler")</f>
        <v>OK</v>
      </c>
    </row>
    <row r="138" spans="1:14" x14ac:dyDescent="0.2">
      <c r="A138" s="1" t="s">
        <v>146</v>
      </c>
      <c r="B138" s="1" t="s">
        <v>234</v>
      </c>
      <c r="C138" s="1" t="s">
        <v>217</v>
      </c>
      <c r="D138" s="4">
        <v>46179</v>
      </c>
      <c r="E138" s="1" t="s">
        <v>222</v>
      </c>
      <c r="F138" s="1">
        <v>15115</v>
      </c>
      <c r="G138" s="1" t="s">
        <v>246</v>
      </c>
      <c r="H138" s="1">
        <v>948</v>
      </c>
      <c r="I138" s="1" t="s">
        <v>227</v>
      </c>
      <c r="J138" s="1" t="s">
        <v>230</v>
      </c>
      <c r="K138" s="2"/>
      <c r="L138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38" t="str">
        <f>IF(AND(Tabelle2[[#This Row],[Mitarbeiterzahl]]&gt;=10,H138&lt;=1000),"OK","Fehler")</f>
        <v>OK</v>
      </c>
      <c r="N138" t="str">
        <f>IF(AND(Tabelle2[[#This Row],[Umsatzpotenzial]]&gt;=1000,Tabelle2[[#This Row],[Umsatzpotenzial]]&lt;=50000), "OK","Fehler")</f>
        <v>OK</v>
      </c>
    </row>
    <row r="139" spans="1:14" x14ac:dyDescent="0.2">
      <c r="A139" s="2" t="s">
        <v>147</v>
      </c>
      <c r="B139" s="2" t="s">
        <v>211</v>
      </c>
      <c r="C139" s="2" t="s">
        <v>213</v>
      </c>
      <c r="D139" s="5">
        <v>46105</v>
      </c>
      <c r="E139" s="2" t="s">
        <v>221</v>
      </c>
      <c r="F139" s="2">
        <v>47323</v>
      </c>
      <c r="G139" s="2" t="s">
        <v>225</v>
      </c>
      <c r="H139" s="2">
        <v>843</v>
      </c>
      <c r="I139" s="2" t="s">
        <v>227</v>
      </c>
      <c r="J139" s="2" t="s">
        <v>232</v>
      </c>
      <c r="K139" s="2"/>
      <c r="L139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39" t="str">
        <f>IF(AND(Tabelle2[[#This Row],[Mitarbeiterzahl]]&gt;=10,H139&lt;=1000),"OK","Fehler")</f>
        <v>OK</v>
      </c>
      <c r="N139" t="str">
        <f>IF(AND(Tabelle2[[#This Row],[Umsatzpotenzial]]&gt;=1000,Tabelle2[[#This Row],[Umsatzpotenzial]]&lt;=50000), "OK","Fehler")</f>
        <v>OK</v>
      </c>
    </row>
    <row r="140" spans="1:14" x14ac:dyDescent="0.2">
      <c r="A140" s="1" t="s">
        <v>148</v>
      </c>
      <c r="B140" s="1" t="s">
        <v>233</v>
      </c>
      <c r="C140" s="1" t="s">
        <v>214</v>
      </c>
      <c r="D140" s="4">
        <v>46176</v>
      </c>
      <c r="E140" s="1" t="s">
        <v>222</v>
      </c>
      <c r="F140" s="1">
        <v>37338</v>
      </c>
      <c r="G140" s="1" t="s">
        <v>228</v>
      </c>
      <c r="H140" s="1">
        <v>453</v>
      </c>
      <c r="I140" s="1" t="s">
        <v>227</v>
      </c>
      <c r="J140" s="1" t="s">
        <v>229</v>
      </c>
      <c r="K140" s="2"/>
      <c r="L140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40" t="str">
        <f>IF(AND(Tabelle2[[#This Row],[Mitarbeiterzahl]]&gt;=10,H140&lt;=1000),"OK","Fehler")</f>
        <v>OK</v>
      </c>
      <c r="N140" t="str">
        <f>IF(AND(Tabelle2[[#This Row],[Umsatzpotenzial]]&gt;=1000,Tabelle2[[#This Row],[Umsatzpotenzial]]&lt;=50000), "OK","Fehler")</f>
        <v>OK</v>
      </c>
    </row>
    <row r="141" spans="1:14" x14ac:dyDescent="0.2">
      <c r="A141" s="2" t="s">
        <v>149</v>
      </c>
      <c r="B141" s="2" t="s">
        <v>211</v>
      </c>
      <c r="C141" s="2" t="s">
        <v>214</v>
      </c>
      <c r="D141" s="5">
        <v>46204</v>
      </c>
      <c r="E141" s="2" t="s">
        <v>222</v>
      </c>
      <c r="F141" s="2">
        <v>6323</v>
      </c>
      <c r="G141" s="2" t="s">
        <v>228</v>
      </c>
      <c r="H141" s="2">
        <v>427</v>
      </c>
      <c r="I141" s="2" t="s">
        <v>227</v>
      </c>
      <c r="J141" s="2" t="s">
        <v>230</v>
      </c>
      <c r="K141" s="2"/>
      <c r="L141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41" t="str">
        <f>IF(AND(Tabelle2[[#This Row],[Mitarbeiterzahl]]&gt;=10,H141&lt;=1000),"OK","Fehler")</f>
        <v>OK</v>
      </c>
      <c r="N141" t="str">
        <f>IF(AND(Tabelle2[[#This Row],[Umsatzpotenzial]]&gt;=1000,Tabelle2[[#This Row],[Umsatzpotenzial]]&lt;=50000), "OK","Fehler")</f>
        <v>OK</v>
      </c>
    </row>
    <row r="142" spans="1:14" x14ac:dyDescent="0.2">
      <c r="A142" s="1" t="s">
        <v>150</v>
      </c>
      <c r="B142" s="1" t="s">
        <v>210</v>
      </c>
      <c r="C142" s="1" t="s">
        <v>217</v>
      </c>
      <c r="D142" s="4">
        <v>46100</v>
      </c>
      <c r="E142" s="1" t="s">
        <v>221</v>
      </c>
      <c r="F142" s="1">
        <v>10418</v>
      </c>
      <c r="G142" s="1" t="s">
        <v>228</v>
      </c>
      <c r="H142" s="1">
        <v>130</v>
      </c>
      <c r="I142" s="1" t="s">
        <v>227</v>
      </c>
      <c r="J142" s="1" t="s">
        <v>232</v>
      </c>
      <c r="K142" s="2"/>
      <c r="L142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42" t="str">
        <f>IF(AND(Tabelle2[[#This Row],[Mitarbeiterzahl]]&gt;=10,H142&lt;=1000),"OK","Fehler")</f>
        <v>OK</v>
      </c>
      <c r="N142" t="str">
        <f>IF(AND(Tabelle2[[#This Row],[Umsatzpotenzial]]&gt;=1000,Tabelle2[[#This Row],[Umsatzpotenzial]]&lt;=50000), "OK","Fehler")</f>
        <v>OK</v>
      </c>
    </row>
    <row r="143" spans="1:14" x14ac:dyDescent="0.2">
      <c r="A143" s="2" t="s">
        <v>151</v>
      </c>
      <c r="B143" s="2" t="s">
        <v>233</v>
      </c>
      <c r="C143" s="2" t="s">
        <v>219</v>
      </c>
      <c r="D143" s="5">
        <v>46258</v>
      </c>
      <c r="E143" s="2" t="s">
        <v>221</v>
      </c>
      <c r="F143" s="2">
        <v>6628</v>
      </c>
      <c r="G143" s="2" t="s">
        <v>224</v>
      </c>
      <c r="H143" s="2">
        <v>389</v>
      </c>
      <c r="I143" s="2" t="s">
        <v>227</v>
      </c>
      <c r="J143" s="2" t="s">
        <v>232</v>
      </c>
      <c r="K143" s="2"/>
      <c r="L143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43" t="str">
        <f>IF(AND(Tabelle2[[#This Row],[Mitarbeiterzahl]]&gt;=10,H143&lt;=1000),"OK","Fehler")</f>
        <v>OK</v>
      </c>
      <c r="N143" t="str">
        <f>IF(AND(Tabelle2[[#This Row],[Umsatzpotenzial]]&gt;=1000,Tabelle2[[#This Row],[Umsatzpotenzial]]&lt;=50000), "OK","Fehler")</f>
        <v>OK</v>
      </c>
    </row>
    <row r="144" spans="1:14" x14ac:dyDescent="0.2">
      <c r="A144" s="1" t="s">
        <v>152</v>
      </c>
      <c r="B144" s="1" t="s">
        <v>210</v>
      </c>
      <c r="C144" s="1" t="s">
        <v>214</v>
      </c>
      <c r="D144" s="4">
        <v>46128</v>
      </c>
      <c r="E144" s="1" t="s">
        <v>220</v>
      </c>
      <c r="F144" s="1">
        <v>7881</v>
      </c>
      <c r="G144" s="1" t="s">
        <v>225</v>
      </c>
      <c r="H144" s="1">
        <v>974</v>
      </c>
      <c r="I144" s="1" t="s">
        <v>226</v>
      </c>
      <c r="J144" s="1" t="s">
        <v>229</v>
      </c>
      <c r="K144" s="2"/>
      <c r="L144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44" t="str">
        <f>IF(AND(Tabelle2[[#This Row],[Mitarbeiterzahl]]&gt;=10,H144&lt;=1000),"OK","Fehler")</f>
        <v>OK</v>
      </c>
      <c r="N144" t="str">
        <f>IF(AND(Tabelle2[[#This Row],[Umsatzpotenzial]]&gt;=1000,Tabelle2[[#This Row],[Umsatzpotenzial]]&lt;=50000), "OK","Fehler")</f>
        <v>OK</v>
      </c>
    </row>
    <row r="145" spans="1:14" x14ac:dyDescent="0.2">
      <c r="A145" s="2" t="s">
        <v>153</v>
      </c>
      <c r="B145" s="2" t="s">
        <v>233</v>
      </c>
      <c r="C145" s="2" t="s">
        <v>214</v>
      </c>
      <c r="D145" s="5">
        <v>46156</v>
      </c>
      <c r="E145" s="2" t="s">
        <v>222</v>
      </c>
      <c r="F145" s="2">
        <v>5610</v>
      </c>
      <c r="G145" s="2" t="s">
        <v>225</v>
      </c>
      <c r="H145" s="2">
        <v>894</v>
      </c>
      <c r="I145" s="2" t="s">
        <v>227</v>
      </c>
      <c r="J145" s="2" t="s">
        <v>229</v>
      </c>
      <c r="K145" s="2"/>
      <c r="L145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45" t="str">
        <f>IF(AND(Tabelle2[[#This Row],[Mitarbeiterzahl]]&gt;=10,H145&lt;=1000),"OK","Fehler")</f>
        <v>OK</v>
      </c>
      <c r="N145" t="str">
        <f>IF(AND(Tabelle2[[#This Row],[Umsatzpotenzial]]&gt;=1000,Tabelle2[[#This Row],[Umsatzpotenzial]]&lt;=50000), "OK","Fehler")</f>
        <v>OK</v>
      </c>
    </row>
    <row r="146" spans="1:14" x14ac:dyDescent="0.2">
      <c r="A146" s="1" t="s">
        <v>154</v>
      </c>
      <c r="B146" s="1" t="s">
        <v>233</v>
      </c>
      <c r="C146" s="1" t="s">
        <v>214</v>
      </c>
      <c r="D146" s="4">
        <v>46166</v>
      </c>
      <c r="E146" s="1" t="s">
        <v>222</v>
      </c>
      <c r="F146" s="1">
        <v>31084</v>
      </c>
      <c r="G146" s="1" t="s">
        <v>224</v>
      </c>
      <c r="H146" s="1">
        <v>177</v>
      </c>
      <c r="I146" s="1" t="s">
        <v>227</v>
      </c>
      <c r="J146" s="1" t="s">
        <v>230</v>
      </c>
      <c r="K146" s="2"/>
      <c r="L146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46" t="str">
        <f>IF(AND(Tabelle2[[#This Row],[Mitarbeiterzahl]]&gt;=10,H146&lt;=1000),"OK","Fehler")</f>
        <v>OK</v>
      </c>
      <c r="N146" t="str">
        <f>IF(AND(Tabelle2[[#This Row],[Umsatzpotenzial]]&gt;=1000,Tabelle2[[#This Row],[Umsatzpotenzial]]&lt;=50000), "OK","Fehler")</f>
        <v>OK</v>
      </c>
    </row>
    <row r="147" spans="1:14" x14ac:dyDescent="0.2">
      <c r="A147" s="2" t="s">
        <v>155</v>
      </c>
      <c r="B147" s="2" t="s">
        <v>212</v>
      </c>
      <c r="C147" s="2" t="s">
        <v>213</v>
      </c>
      <c r="D147" s="5">
        <v>46157</v>
      </c>
      <c r="E147" s="2" t="s">
        <v>220</v>
      </c>
      <c r="F147" s="2">
        <v>30361</v>
      </c>
      <c r="G147" s="2" t="s">
        <v>223</v>
      </c>
      <c r="H147" s="2">
        <v>989</v>
      </c>
      <c r="I147" s="2" t="s">
        <v>226</v>
      </c>
      <c r="J147" s="2" t="s">
        <v>230</v>
      </c>
      <c r="K147" s="2"/>
      <c r="L147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47" t="str">
        <f>IF(AND(Tabelle2[[#This Row],[Mitarbeiterzahl]]&gt;=10,H147&lt;=1000),"OK","Fehler")</f>
        <v>OK</v>
      </c>
      <c r="N147" t="str">
        <f>IF(AND(Tabelle2[[#This Row],[Umsatzpotenzial]]&gt;=1000,Tabelle2[[#This Row],[Umsatzpotenzial]]&lt;=50000), "OK","Fehler")</f>
        <v>OK</v>
      </c>
    </row>
    <row r="148" spans="1:14" x14ac:dyDescent="0.2">
      <c r="A148" s="1" t="s">
        <v>156</v>
      </c>
      <c r="B148" s="1" t="s">
        <v>212</v>
      </c>
      <c r="C148" s="1" t="s">
        <v>219</v>
      </c>
      <c r="D148" s="4">
        <v>46252</v>
      </c>
      <c r="E148" s="1" t="s">
        <v>221</v>
      </c>
      <c r="F148" s="1">
        <v>48095</v>
      </c>
      <c r="G148" s="1" t="s">
        <v>224</v>
      </c>
      <c r="H148" s="1">
        <v>729</v>
      </c>
      <c r="I148" s="1" t="s">
        <v>227</v>
      </c>
      <c r="J148" s="1" t="s">
        <v>232</v>
      </c>
      <c r="K148" s="2"/>
      <c r="L148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48" t="str">
        <f>IF(AND(Tabelle2[[#This Row],[Mitarbeiterzahl]]&gt;=10,H148&lt;=1000),"OK","Fehler")</f>
        <v>OK</v>
      </c>
      <c r="N148" t="str">
        <f>IF(AND(Tabelle2[[#This Row],[Umsatzpotenzial]]&gt;=1000,Tabelle2[[#This Row],[Umsatzpotenzial]]&lt;=50000), "OK","Fehler")</f>
        <v>OK</v>
      </c>
    </row>
    <row r="149" spans="1:14" x14ac:dyDescent="0.2">
      <c r="A149" s="2" t="s">
        <v>157</v>
      </c>
      <c r="B149" s="2" t="s">
        <v>212</v>
      </c>
      <c r="C149" s="2" t="s">
        <v>213</v>
      </c>
      <c r="D149" s="5">
        <v>46103</v>
      </c>
      <c r="E149" s="2" t="s">
        <v>220</v>
      </c>
      <c r="F149" s="2">
        <v>40650</v>
      </c>
      <c r="G149" s="2" t="s">
        <v>246</v>
      </c>
      <c r="H149" s="2">
        <v>143</v>
      </c>
      <c r="I149" s="2" t="s">
        <v>226</v>
      </c>
      <c r="J149" s="2" t="s">
        <v>229</v>
      </c>
      <c r="K149" s="2"/>
      <c r="L149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49" t="str">
        <f>IF(AND(Tabelle2[[#This Row],[Mitarbeiterzahl]]&gt;=10,H149&lt;=1000),"OK","Fehler")</f>
        <v>OK</v>
      </c>
      <c r="N149" t="str">
        <f>IF(AND(Tabelle2[[#This Row],[Umsatzpotenzial]]&gt;=1000,Tabelle2[[#This Row],[Umsatzpotenzial]]&lt;=50000), "OK","Fehler")</f>
        <v>OK</v>
      </c>
    </row>
    <row r="150" spans="1:14" x14ac:dyDescent="0.2">
      <c r="A150" s="1" t="s">
        <v>158</v>
      </c>
      <c r="B150" s="1" t="s">
        <v>212</v>
      </c>
      <c r="C150" s="1" t="s">
        <v>214</v>
      </c>
      <c r="D150" s="4">
        <v>46129</v>
      </c>
      <c r="E150" s="1" t="s">
        <v>220</v>
      </c>
      <c r="F150" s="1">
        <v>3988</v>
      </c>
      <c r="G150" s="1" t="s">
        <v>223</v>
      </c>
      <c r="H150" s="1">
        <v>382</v>
      </c>
      <c r="I150" s="1" t="s">
        <v>226</v>
      </c>
      <c r="J150" s="1" t="s">
        <v>229</v>
      </c>
      <c r="K150" s="2"/>
      <c r="L150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50" t="str">
        <f>IF(AND(Tabelle2[[#This Row],[Mitarbeiterzahl]]&gt;=10,H150&lt;=1000),"OK","Fehler")</f>
        <v>OK</v>
      </c>
      <c r="N150" t="str">
        <f>IF(AND(Tabelle2[[#This Row],[Umsatzpotenzial]]&gt;=1000,Tabelle2[[#This Row],[Umsatzpotenzial]]&lt;=50000), "OK","Fehler")</f>
        <v>OK</v>
      </c>
    </row>
    <row r="151" spans="1:14" x14ac:dyDescent="0.2">
      <c r="A151" s="2" t="s">
        <v>159</v>
      </c>
      <c r="B151" s="2" t="s">
        <v>211</v>
      </c>
      <c r="C151" s="2" t="s">
        <v>218</v>
      </c>
      <c r="D151" s="5">
        <v>46174</v>
      </c>
      <c r="E151" s="2" t="s">
        <v>220</v>
      </c>
      <c r="F151" s="2">
        <v>38352</v>
      </c>
      <c r="G151" s="2" t="s">
        <v>223</v>
      </c>
      <c r="H151" s="2">
        <v>858</v>
      </c>
      <c r="I151" s="2" t="s">
        <v>226</v>
      </c>
      <c r="J151" s="2" t="s">
        <v>232</v>
      </c>
      <c r="K151" s="2"/>
      <c r="L151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51" t="str">
        <f>IF(AND(Tabelle2[[#This Row],[Mitarbeiterzahl]]&gt;=10,H151&lt;=1000),"OK","Fehler")</f>
        <v>OK</v>
      </c>
      <c r="N151" t="str">
        <f>IF(AND(Tabelle2[[#This Row],[Umsatzpotenzial]]&gt;=1000,Tabelle2[[#This Row],[Umsatzpotenzial]]&lt;=50000), "OK","Fehler")</f>
        <v>OK</v>
      </c>
    </row>
    <row r="152" spans="1:14" x14ac:dyDescent="0.2">
      <c r="A152" s="1" t="s">
        <v>160</v>
      </c>
      <c r="B152" s="1" t="s">
        <v>211</v>
      </c>
      <c r="C152" s="1" t="s">
        <v>218</v>
      </c>
      <c r="D152" s="4">
        <v>46177</v>
      </c>
      <c r="E152" s="1" t="s">
        <v>222</v>
      </c>
      <c r="F152" s="1">
        <v>30163</v>
      </c>
      <c r="G152" s="1" t="s">
        <v>223</v>
      </c>
      <c r="H152" s="1">
        <v>408</v>
      </c>
      <c r="I152" s="1" t="s">
        <v>227</v>
      </c>
      <c r="J152" s="1" t="s">
        <v>231</v>
      </c>
      <c r="K152" s="2"/>
      <c r="L152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52" t="str">
        <f>IF(AND(Tabelle2[[#This Row],[Mitarbeiterzahl]]&gt;=10,H152&lt;=1000),"OK","Fehler")</f>
        <v>OK</v>
      </c>
      <c r="N152" t="str">
        <f>IF(AND(Tabelle2[[#This Row],[Umsatzpotenzial]]&gt;=1000,Tabelle2[[#This Row],[Umsatzpotenzial]]&lt;=50000), "OK","Fehler")</f>
        <v>OK</v>
      </c>
    </row>
    <row r="153" spans="1:14" x14ac:dyDescent="0.2">
      <c r="A153" s="2" t="s">
        <v>161</v>
      </c>
      <c r="B153" s="2" t="s">
        <v>234</v>
      </c>
      <c r="C153" s="2" t="s">
        <v>215</v>
      </c>
      <c r="D153" s="5">
        <v>46153</v>
      </c>
      <c r="E153" s="2" t="s">
        <v>222</v>
      </c>
      <c r="F153" s="2">
        <v>32883</v>
      </c>
      <c r="G153" s="2" t="s">
        <v>228</v>
      </c>
      <c r="H153" s="2">
        <v>222</v>
      </c>
      <c r="I153" s="2" t="s">
        <v>227</v>
      </c>
      <c r="J153" s="2" t="s">
        <v>232</v>
      </c>
      <c r="K153" s="2"/>
      <c r="L153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53" t="str">
        <f>IF(AND(Tabelle2[[#This Row],[Mitarbeiterzahl]]&gt;=10,H153&lt;=1000),"OK","Fehler")</f>
        <v>OK</v>
      </c>
      <c r="N153" t="str">
        <f>IF(AND(Tabelle2[[#This Row],[Umsatzpotenzial]]&gt;=1000,Tabelle2[[#This Row],[Umsatzpotenzial]]&lt;=50000), "OK","Fehler")</f>
        <v>OK</v>
      </c>
    </row>
    <row r="154" spans="1:14" x14ac:dyDescent="0.2">
      <c r="A154" s="1" t="s">
        <v>162</v>
      </c>
      <c r="B154" s="1" t="s">
        <v>210</v>
      </c>
      <c r="C154" s="1" t="s">
        <v>214</v>
      </c>
      <c r="D154" s="4">
        <v>46202</v>
      </c>
      <c r="E154" s="1" t="s">
        <v>221</v>
      </c>
      <c r="F154" s="1">
        <v>5051</v>
      </c>
      <c r="G154" s="1" t="s">
        <v>225</v>
      </c>
      <c r="H154" s="1">
        <v>373</v>
      </c>
      <c r="I154" s="1" t="s">
        <v>227</v>
      </c>
      <c r="J154" s="1" t="s">
        <v>232</v>
      </c>
      <c r="K154" s="2"/>
      <c r="L154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54" t="str">
        <f>IF(AND(Tabelle2[[#This Row],[Mitarbeiterzahl]]&gt;=10,H154&lt;=1000),"OK","Fehler")</f>
        <v>OK</v>
      </c>
      <c r="N154" t="str">
        <f>IF(AND(Tabelle2[[#This Row],[Umsatzpotenzial]]&gt;=1000,Tabelle2[[#This Row],[Umsatzpotenzial]]&lt;=50000), "OK","Fehler")</f>
        <v>OK</v>
      </c>
    </row>
    <row r="155" spans="1:14" x14ac:dyDescent="0.2">
      <c r="A155" s="2" t="s">
        <v>163</v>
      </c>
      <c r="B155" s="2" t="s">
        <v>233</v>
      </c>
      <c r="C155" s="2" t="s">
        <v>219</v>
      </c>
      <c r="D155" s="5">
        <v>46240</v>
      </c>
      <c r="E155" s="2" t="s">
        <v>220</v>
      </c>
      <c r="F155" s="2">
        <v>9065</v>
      </c>
      <c r="G155" s="2" t="s">
        <v>228</v>
      </c>
      <c r="H155" s="2">
        <v>833</v>
      </c>
      <c r="I155" s="2" t="s">
        <v>226</v>
      </c>
      <c r="J155" s="2" t="s">
        <v>230</v>
      </c>
      <c r="K155" s="2"/>
      <c r="L155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55" t="str">
        <f>IF(AND(Tabelle2[[#This Row],[Mitarbeiterzahl]]&gt;=10,H155&lt;=1000),"OK","Fehler")</f>
        <v>OK</v>
      </c>
      <c r="N155" t="str">
        <f>IF(AND(Tabelle2[[#This Row],[Umsatzpotenzial]]&gt;=1000,Tabelle2[[#This Row],[Umsatzpotenzial]]&lt;=50000), "OK","Fehler")</f>
        <v>OK</v>
      </c>
    </row>
    <row r="156" spans="1:14" x14ac:dyDescent="0.2">
      <c r="A156" s="1" t="s">
        <v>164</v>
      </c>
      <c r="B156" s="1" t="s">
        <v>233</v>
      </c>
      <c r="C156" s="1" t="s">
        <v>219</v>
      </c>
      <c r="D156" s="4">
        <v>46088</v>
      </c>
      <c r="E156" s="1" t="s">
        <v>220</v>
      </c>
      <c r="F156" s="1">
        <v>15043</v>
      </c>
      <c r="G156" s="1" t="s">
        <v>246</v>
      </c>
      <c r="H156" s="1">
        <v>292</v>
      </c>
      <c r="I156" s="1" t="s">
        <v>226</v>
      </c>
      <c r="J156" s="1" t="s">
        <v>231</v>
      </c>
      <c r="K156" s="2"/>
      <c r="L156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56" t="str">
        <f>IF(AND(Tabelle2[[#This Row],[Mitarbeiterzahl]]&gt;=10,H156&lt;=1000),"OK","Fehler")</f>
        <v>OK</v>
      </c>
      <c r="N156" t="str">
        <f>IF(AND(Tabelle2[[#This Row],[Umsatzpotenzial]]&gt;=1000,Tabelle2[[#This Row],[Umsatzpotenzial]]&lt;=50000), "OK","Fehler")</f>
        <v>OK</v>
      </c>
    </row>
    <row r="157" spans="1:14" x14ac:dyDescent="0.2">
      <c r="A157" s="2" t="s">
        <v>165</v>
      </c>
      <c r="B157" s="2" t="s">
        <v>210</v>
      </c>
      <c r="C157" s="2" t="s">
        <v>217</v>
      </c>
      <c r="D157" s="5">
        <v>46207</v>
      </c>
      <c r="E157" s="2" t="s">
        <v>220</v>
      </c>
      <c r="F157" s="2">
        <v>30158</v>
      </c>
      <c r="G157" s="2" t="s">
        <v>225</v>
      </c>
      <c r="H157" s="2">
        <v>44</v>
      </c>
      <c r="I157" s="2" t="s">
        <v>226</v>
      </c>
      <c r="J157" s="2" t="s">
        <v>229</v>
      </c>
      <c r="K157" s="2"/>
      <c r="L157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57" t="str">
        <f>IF(AND(Tabelle2[[#This Row],[Mitarbeiterzahl]]&gt;=10,H157&lt;=1000),"OK","Fehler")</f>
        <v>OK</v>
      </c>
      <c r="N157" t="str">
        <f>IF(AND(Tabelle2[[#This Row],[Umsatzpotenzial]]&gt;=1000,Tabelle2[[#This Row],[Umsatzpotenzial]]&lt;=50000), "OK","Fehler")</f>
        <v>OK</v>
      </c>
    </row>
    <row r="158" spans="1:14" x14ac:dyDescent="0.2">
      <c r="A158" s="1" t="s">
        <v>166</v>
      </c>
      <c r="B158" s="1" t="s">
        <v>210</v>
      </c>
      <c r="C158" s="1" t="s">
        <v>216</v>
      </c>
      <c r="D158" s="4">
        <v>46222</v>
      </c>
      <c r="E158" s="1" t="s">
        <v>220</v>
      </c>
      <c r="F158" s="1">
        <v>14083</v>
      </c>
      <c r="G158" s="1" t="s">
        <v>224</v>
      </c>
      <c r="H158" s="1">
        <v>923</v>
      </c>
      <c r="I158" s="1" t="s">
        <v>226</v>
      </c>
      <c r="J158" s="1" t="s">
        <v>231</v>
      </c>
      <c r="K158" s="2"/>
      <c r="L158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58" t="str">
        <f>IF(AND(Tabelle2[[#This Row],[Mitarbeiterzahl]]&gt;=10,H158&lt;=1000),"OK","Fehler")</f>
        <v>OK</v>
      </c>
      <c r="N158" t="str">
        <f>IF(AND(Tabelle2[[#This Row],[Umsatzpotenzial]]&gt;=1000,Tabelle2[[#This Row],[Umsatzpotenzial]]&lt;=50000), "OK","Fehler")</f>
        <v>OK</v>
      </c>
    </row>
    <row r="159" spans="1:14" x14ac:dyDescent="0.2">
      <c r="A159" s="2" t="s">
        <v>167</v>
      </c>
      <c r="B159" s="2" t="s">
        <v>210</v>
      </c>
      <c r="C159" s="2" t="s">
        <v>218</v>
      </c>
      <c r="D159" s="5">
        <v>46165</v>
      </c>
      <c r="E159" s="2" t="s">
        <v>221</v>
      </c>
      <c r="F159" s="2">
        <v>46008</v>
      </c>
      <c r="G159" s="2" t="s">
        <v>223</v>
      </c>
      <c r="H159" s="2">
        <v>224</v>
      </c>
      <c r="I159" s="2" t="s">
        <v>227</v>
      </c>
      <c r="J159" s="2" t="s">
        <v>230</v>
      </c>
      <c r="K159" s="2"/>
      <c r="L159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59" t="str">
        <f>IF(AND(Tabelle2[[#This Row],[Mitarbeiterzahl]]&gt;=10,H159&lt;=1000),"OK","Fehler")</f>
        <v>OK</v>
      </c>
      <c r="N159" t="str">
        <f>IF(AND(Tabelle2[[#This Row],[Umsatzpotenzial]]&gt;=1000,Tabelle2[[#This Row],[Umsatzpotenzial]]&lt;=50000), "OK","Fehler")</f>
        <v>OK</v>
      </c>
    </row>
    <row r="160" spans="1:14" x14ac:dyDescent="0.2">
      <c r="A160" s="1" t="s">
        <v>168</v>
      </c>
      <c r="B160" s="1" t="s">
        <v>212</v>
      </c>
      <c r="C160" s="1" t="s">
        <v>217</v>
      </c>
      <c r="D160" s="4">
        <v>46096</v>
      </c>
      <c r="E160" s="1" t="s">
        <v>222</v>
      </c>
      <c r="F160" s="1">
        <v>15878</v>
      </c>
      <c r="G160" s="1" t="s">
        <v>246</v>
      </c>
      <c r="H160" s="1">
        <v>867</v>
      </c>
      <c r="I160" s="1" t="s">
        <v>227</v>
      </c>
      <c r="J160" s="1" t="s">
        <v>231</v>
      </c>
      <c r="K160" s="2"/>
      <c r="L160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60" t="str">
        <f>IF(AND(Tabelle2[[#This Row],[Mitarbeiterzahl]]&gt;=10,H160&lt;=1000),"OK","Fehler")</f>
        <v>OK</v>
      </c>
      <c r="N160" t="str">
        <f>IF(AND(Tabelle2[[#This Row],[Umsatzpotenzial]]&gt;=1000,Tabelle2[[#This Row],[Umsatzpotenzial]]&lt;=50000), "OK","Fehler")</f>
        <v>OK</v>
      </c>
    </row>
    <row r="161" spans="1:14" x14ac:dyDescent="0.2">
      <c r="A161" s="2" t="s">
        <v>169</v>
      </c>
      <c r="B161" s="2" t="s">
        <v>210</v>
      </c>
      <c r="C161" s="2" t="s">
        <v>213</v>
      </c>
      <c r="D161" s="5">
        <v>46246</v>
      </c>
      <c r="E161" s="2" t="s">
        <v>222</v>
      </c>
      <c r="F161" s="2">
        <v>28182</v>
      </c>
      <c r="G161" s="2" t="s">
        <v>228</v>
      </c>
      <c r="H161" s="2">
        <v>200</v>
      </c>
      <c r="I161" s="2" t="s">
        <v>227</v>
      </c>
      <c r="J161" s="2" t="s">
        <v>231</v>
      </c>
      <c r="K161" s="2"/>
      <c r="L161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61" t="str">
        <f>IF(AND(Tabelle2[[#This Row],[Mitarbeiterzahl]]&gt;=10,H161&lt;=1000),"OK","Fehler")</f>
        <v>OK</v>
      </c>
      <c r="N161" t="str">
        <f>IF(AND(Tabelle2[[#This Row],[Umsatzpotenzial]]&gt;=1000,Tabelle2[[#This Row],[Umsatzpotenzial]]&lt;=50000), "OK","Fehler")</f>
        <v>OK</v>
      </c>
    </row>
    <row r="162" spans="1:14" x14ac:dyDescent="0.2">
      <c r="A162" s="1" t="s">
        <v>170</v>
      </c>
      <c r="B162" s="1" t="s">
        <v>212</v>
      </c>
      <c r="C162" s="1" t="s">
        <v>217</v>
      </c>
      <c r="D162" s="4">
        <v>46263</v>
      </c>
      <c r="E162" s="1" t="s">
        <v>222</v>
      </c>
      <c r="F162" s="1">
        <v>42086</v>
      </c>
      <c r="G162" s="1" t="s">
        <v>223</v>
      </c>
      <c r="H162" s="1">
        <v>234</v>
      </c>
      <c r="I162" s="1" t="s">
        <v>227</v>
      </c>
      <c r="J162" s="1" t="s">
        <v>230</v>
      </c>
      <c r="K162" s="2"/>
      <c r="L162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62" t="str">
        <f>IF(AND(Tabelle2[[#This Row],[Mitarbeiterzahl]]&gt;=10,H162&lt;=1000),"OK","Fehler")</f>
        <v>OK</v>
      </c>
      <c r="N162" t="str">
        <f>IF(AND(Tabelle2[[#This Row],[Umsatzpotenzial]]&gt;=1000,Tabelle2[[#This Row],[Umsatzpotenzial]]&lt;=50000), "OK","Fehler")</f>
        <v>OK</v>
      </c>
    </row>
    <row r="163" spans="1:14" x14ac:dyDescent="0.2">
      <c r="A163" s="2" t="s">
        <v>171</v>
      </c>
      <c r="B163" s="2" t="s">
        <v>233</v>
      </c>
      <c r="C163" s="2" t="s">
        <v>219</v>
      </c>
      <c r="D163" s="5">
        <v>46169</v>
      </c>
      <c r="E163" s="2" t="s">
        <v>220</v>
      </c>
      <c r="F163" s="2">
        <v>25665</v>
      </c>
      <c r="G163" s="2" t="s">
        <v>228</v>
      </c>
      <c r="H163" s="2">
        <v>226</v>
      </c>
      <c r="I163" s="2" t="s">
        <v>226</v>
      </c>
      <c r="J163" s="2" t="s">
        <v>230</v>
      </c>
      <c r="K163" s="2"/>
      <c r="L163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63" t="str">
        <f>IF(AND(Tabelle2[[#This Row],[Mitarbeiterzahl]]&gt;=10,H163&lt;=1000),"OK","Fehler")</f>
        <v>OK</v>
      </c>
      <c r="N163" t="str">
        <f>IF(AND(Tabelle2[[#This Row],[Umsatzpotenzial]]&gt;=1000,Tabelle2[[#This Row],[Umsatzpotenzial]]&lt;=50000), "OK","Fehler")</f>
        <v>OK</v>
      </c>
    </row>
    <row r="164" spans="1:14" x14ac:dyDescent="0.2">
      <c r="A164" s="1" t="s">
        <v>172</v>
      </c>
      <c r="B164" s="1" t="s">
        <v>234</v>
      </c>
      <c r="C164" s="1" t="s">
        <v>213</v>
      </c>
      <c r="D164" s="4">
        <v>46178</v>
      </c>
      <c r="E164" s="1" t="s">
        <v>221</v>
      </c>
      <c r="F164" s="1">
        <v>21108</v>
      </c>
      <c r="G164" s="1" t="s">
        <v>224</v>
      </c>
      <c r="H164" s="1">
        <v>230</v>
      </c>
      <c r="I164" s="1" t="s">
        <v>227</v>
      </c>
      <c r="J164" s="1" t="s">
        <v>230</v>
      </c>
      <c r="K164" s="2"/>
      <c r="L164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64" t="str">
        <f>IF(AND(Tabelle2[[#This Row],[Mitarbeiterzahl]]&gt;=10,H164&lt;=1000),"OK","Fehler")</f>
        <v>OK</v>
      </c>
      <c r="N164" t="str">
        <f>IF(AND(Tabelle2[[#This Row],[Umsatzpotenzial]]&gt;=1000,Tabelle2[[#This Row],[Umsatzpotenzial]]&lt;=50000), "OK","Fehler")</f>
        <v>OK</v>
      </c>
    </row>
    <row r="165" spans="1:14" x14ac:dyDescent="0.2">
      <c r="A165" s="2" t="s">
        <v>173</v>
      </c>
      <c r="B165" s="2" t="s">
        <v>210</v>
      </c>
      <c r="C165" s="2" t="s">
        <v>213</v>
      </c>
      <c r="D165" s="5">
        <v>46106</v>
      </c>
      <c r="E165" s="2" t="s">
        <v>222</v>
      </c>
      <c r="F165" s="2">
        <v>29305</v>
      </c>
      <c r="G165" s="2" t="s">
        <v>224</v>
      </c>
      <c r="H165" s="2">
        <v>159</v>
      </c>
      <c r="I165" s="2" t="s">
        <v>227</v>
      </c>
      <c r="J165" s="2" t="s">
        <v>231</v>
      </c>
      <c r="K165" s="2"/>
      <c r="L165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65" t="str">
        <f>IF(AND(Tabelle2[[#This Row],[Mitarbeiterzahl]]&gt;=10,H165&lt;=1000),"OK","Fehler")</f>
        <v>OK</v>
      </c>
      <c r="N165" t="str">
        <f>IF(AND(Tabelle2[[#This Row],[Umsatzpotenzial]]&gt;=1000,Tabelle2[[#This Row],[Umsatzpotenzial]]&lt;=50000), "OK","Fehler")</f>
        <v>OK</v>
      </c>
    </row>
    <row r="166" spans="1:14" x14ac:dyDescent="0.2">
      <c r="A166" s="1" t="s">
        <v>174</v>
      </c>
      <c r="B166" s="1" t="s">
        <v>211</v>
      </c>
      <c r="C166" s="1" t="s">
        <v>213</v>
      </c>
      <c r="D166" s="4">
        <v>46199</v>
      </c>
      <c r="E166" s="1" t="s">
        <v>220</v>
      </c>
      <c r="F166" s="1">
        <v>42180</v>
      </c>
      <c r="G166" s="1" t="s">
        <v>223</v>
      </c>
      <c r="H166" s="1">
        <v>405</v>
      </c>
      <c r="I166" s="1" t="s">
        <v>226</v>
      </c>
      <c r="J166" s="1" t="s">
        <v>229</v>
      </c>
      <c r="K166" s="2"/>
      <c r="L166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66" t="str">
        <f>IF(AND(Tabelle2[[#This Row],[Mitarbeiterzahl]]&gt;=10,H166&lt;=1000),"OK","Fehler")</f>
        <v>OK</v>
      </c>
      <c r="N166" t="str">
        <f>IF(AND(Tabelle2[[#This Row],[Umsatzpotenzial]]&gt;=1000,Tabelle2[[#This Row],[Umsatzpotenzial]]&lt;=50000), "OK","Fehler")</f>
        <v>OK</v>
      </c>
    </row>
    <row r="167" spans="1:14" x14ac:dyDescent="0.2">
      <c r="A167" s="2" t="s">
        <v>175</v>
      </c>
      <c r="B167" s="2" t="s">
        <v>210</v>
      </c>
      <c r="C167" s="2" t="s">
        <v>213</v>
      </c>
      <c r="D167" s="5">
        <v>46261</v>
      </c>
      <c r="E167" s="2" t="s">
        <v>220</v>
      </c>
      <c r="F167" s="2">
        <v>18737</v>
      </c>
      <c r="G167" s="2" t="s">
        <v>223</v>
      </c>
      <c r="H167" s="2">
        <v>373</v>
      </c>
      <c r="I167" s="2" t="s">
        <v>226</v>
      </c>
      <c r="J167" s="2" t="s">
        <v>232</v>
      </c>
      <c r="K167" s="2"/>
      <c r="L167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67" t="str">
        <f>IF(AND(Tabelle2[[#This Row],[Mitarbeiterzahl]]&gt;=10,H167&lt;=1000),"OK","Fehler")</f>
        <v>OK</v>
      </c>
      <c r="N167" t="str">
        <f>IF(AND(Tabelle2[[#This Row],[Umsatzpotenzial]]&gt;=1000,Tabelle2[[#This Row],[Umsatzpotenzial]]&lt;=50000), "OK","Fehler")</f>
        <v>OK</v>
      </c>
    </row>
    <row r="168" spans="1:14" x14ac:dyDescent="0.2">
      <c r="A168" s="1" t="s">
        <v>176</v>
      </c>
      <c r="B168" s="1" t="s">
        <v>211</v>
      </c>
      <c r="C168" s="1" t="s">
        <v>215</v>
      </c>
      <c r="D168" s="4">
        <v>46099</v>
      </c>
      <c r="E168" s="1" t="s">
        <v>222</v>
      </c>
      <c r="F168" s="1">
        <v>16297</v>
      </c>
      <c r="G168" s="1" t="s">
        <v>224</v>
      </c>
      <c r="H168" s="1">
        <v>130</v>
      </c>
      <c r="I168" s="1" t="s">
        <v>227</v>
      </c>
      <c r="J168" s="1" t="s">
        <v>229</v>
      </c>
      <c r="K168" s="2"/>
      <c r="L168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68" t="str">
        <f>IF(AND(Tabelle2[[#This Row],[Mitarbeiterzahl]]&gt;=10,H168&lt;=1000),"OK","Fehler")</f>
        <v>OK</v>
      </c>
      <c r="N168" t="str">
        <f>IF(AND(Tabelle2[[#This Row],[Umsatzpotenzial]]&gt;=1000,Tabelle2[[#This Row],[Umsatzpotenzial]]&lt;=50000), "OK","Fehler")</f>
        <v>OK</v>
      </c>
    </row>
    <row r="169" spans="1:14" x14ac:dyDescent="0.2">
      <c r="A169" s="2" t="s">
        <v>177</v>
      </c>
      <c r="B169" s="2" t="s">
        <v>210</v>
      </c>
      <c r="C169" s="2" t="s">
        <v>218</v>
      </c>
      <c r="D169" s="5">
        <v>46178</v>
      </c>
      <c r="E169" s="2" t="s">
        <v>221</v>
      </c>
      <c r="F169" s="2">
        <v>38683</v>
      </c>
      <c r="G169" s="2" t="s">
        <v>224</v>
      </c>
      <c r="H169" s="2">
        <v>665</v>
      </c>
      <c r="I169" s="2" t="s">
        <v>227</v>
      </c>
      <c r="J169" s="2" t="s">
        <v>229</v>
      </c>
      <c r="K169" s="2"/>
      <c r="L169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69" t="str">
        <f>IF(AND(Tabelle2[[#This Row],[Mitarbeiterzahl]]&gt;=10,H169&lt;=1000),"OK","Fehler")</f>
        <v>OK</v>
      </c>
      <c r="N169" t="str">
        <f>IF(AND(Tabelle2[[#This Row],[Umsatzpotenzial]]&gt;=1000,Tabelle2[[#This Row],[Umsatzpotenzial]]&lt;=50000), "OK","Fehler")</f>
        <v>OK</v>
      </c>
    </row>
    <row r="170" spans="1:14" x14ac:dyDescent="0.2">
      <c r="A170" s="1" t="s">
        <v>178</v>
      </c>
      <c r="B170" s="1" t="s">
        <v>212</v>
      </c>
      <c r="C170" s="1" t="s">
        <v>213</v>
      </c>
      <c r="D170" s="4">
        <v>46209</v>
      </c>
      <c r="E170" s="1" t="s">
        <v>221</v>
      </c>
      <c r="F170" s="1">
        <v>23166</v>
      </c>
      <c r="G170" s="1" t="s">
        <v>228</v>
      </c>
      <c r="H170" s="1">
        <v>632</v>
      </c>
      <c r="I170" s="1" t="s">
        <v>227</v>
      </c>
      <c r="J170" s="1" t="s">
        <v>231</v>
      </c>
      <c r="K170" s="2"/>
      <c r="L170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70" t="str">
        <f>IF(AND(Tabelle2[[#This Row],[Mitarbeiterzahl]]&gt;=10,H170&lt;=1000),"OK","Fehler")</f>
        <v>OK</v>
      </c>
      <c r="N170" t="str">
        <f>IF(AND(Tabelle2[[#This Row],[Umsatzpotenzial]]&gt;=1000,Tabelle2[[#This Row],[Umsatzpotenzial]]&lt;=50000), "OK","Fehler")</f>
        <v>OK</v>
      </c>
    </row>
    <row r="171" spans="1:14" x14ac:dyDescent="0.2">
      <c r="A171" s="2" t="s">
        <v>179</v>
      </c>
      <c r="B171" s="2" t="s">
        <v>212</v>
      </c>
      <c r="C171" s="2" t="s">
        <v>213</v>
      </c>
      <c r="D171" s="5">
        <v>46093</v>
      </c>
      <c r="E171" s="2" t="s">
        <v>221</v>
      </c>
      <c r="F171" s="2">
        <v>43427</v>
      </c>
      <c r="G171" s="2" t="s">
        <v>225</v>
      </c>
      <c r="H171" s="2">
        <v>592</v>
      </c>
      <c r="I171" s="2" t="s">
        <v>227</v>
      </c>
      <c r="J171" s="2" t="s">
        <v>231</v>
      </c>
      <c r="K171" s="2"/>
      <c r="L171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71" t="str">
        <f>IF(AND(Tabelle2[[#This Row],[Mitarbeiterzahl]]&gt;=10,H171&lt;=1000),"OK","Fehler")</f>
        <v>OK</v>
      </c>
      <c r="N171" t="str">
        <f>IF(AND(Tabelle2[[#This Row],[Umsatzpotenzial]]&gt;=1000,Tabelle2[[#This Row],[Umsatzpotenzial]]&lt;=50000), "OK","Fehler")</f>
        <v>OK</v>
      </c>
    </row>
    <row r="172" spans="1:14" x14ac:dyDescent="0.2">
      <c r="A172" s="1" t="s">
        <v>180</v>
      </c>
      <c r="B172" s="1" t="s">
        <v>211</v>
      </c>
      <c r="C172" s="1" t="s">
        <v>219</v>
      </c>
      <c r="D172" s="4">
        <v>46086</v>
      </c>
      <c r="E172" s="1" t="s">
        <v>222</v>
      </c>
      <c r="F172" s="1">
        <v>34705</v>
      </c>
      <c r="G172" s="1" t="s">
        <v>223</v>
      </c>
      <c r="H172" s="1">
        <v>295</v>
      </c>
      <c r="I172" s="1" t="s">
        <v>227</v>
      </c>
      <c r="J172" s="1" t="s">
        <v>231</v>
      </c>
      <c r="K172" s="2"/>
      <c r="L172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72" t="str">
        <f>IF(AND(Tabelle2[[#This Row],[Mitarbeiterzahl]]&gt;=10,H172&lt;=1000),"OK","Fehler")</f>
        <v>OK</v>
      </c>
      <c r="N172" t="str">
        <f>IF(AND(Tabelle2[[#This Row],[Umsatzpotenzial]]&gt;=1000,Tabelle2[[#This Row],[Umsatzpotenzial]]&lt;=50000), "OK","Fehler")</f>
        <v>OK</v>
      </c>
    </row>
    <row r="173" spans="1:14" x14ac:dyDescent="0.2">
      <c r="A173" s="2" t="s">
        <v>181</v>
      </c>
      <c r="B173" s="2" t="s">
        <v>211</v>
      </c>
      <c r="C173" s="2" t="s">
        <v>218</v>
      </c>
      <c r="D173" s="5">
        <v>46236</v>
      </c>
      <c r="E173" s="2" t="s">
        <v>221</v>
      </c>
      <c r="F173" s="2">
        <v>39748</v>
      </c>
      <c r="G173" s="2" t="s">
        <v>246</v>
      </c>
      <c r="H173" s="2">
        <v>71</v>
      </c>
      <c r="I173" s="2" t="s">
        <v>227</v>
      </c>
      <c r="J173" s="2" t="s">
        <v>231</v>
      </c>
      <c r="K173" s="2"/>
      <c r="L173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73" t="str">
        <f>IF(AND(Tabelle2[[#This Row],[Mitarbeiterzahl]]&gt;=10,H173&lt;=1000),"OK","Fehler")</f>
        <v>OK</v>
      </c>
      <c r="N173" t="str">
        <f>IF(AND(Tabelle2[[#This Row],[Umsatzpotenzial]]&gt;=1000,Tabelle2[[#This Row],[Umsatzpotenzial]]&lt;=50000), "OK","Fehler")</f>
        <v>OK</v>
      </c>
    </row>
    <row r="174" spans="1:14" x14ac:dyDescent="0.2">
      <c r="A174" s="1" t="s">
        <v>182</v>
      </c>
      <c r="B174" s="1" t="s">
        <v>233</v>
      </c>
      <c r="C174" s="1" t="s">
        <v>214</v>
      </c>
      <c r="D174" s="4">
        <v>46191</v>
      </c>
      <c r="E174" s="1" t="s">
        <v>220</v>
      </c>
      <c r="F174" s="1">
        <v>2402</v>
      </c>
      <c r="G174" s="1" t="s">
        <v>225</v>
      </c>
      <c r="H174" s="1">
        <v>964</v>
      </c>
      <c r="I174" s="1" t="s">
        <v>226</v>
      </c>
      <c r="J174" s="1" t="s">
        <v>231</v>
      </c>
      <c r="K174" s="2"/>
      <c r="L174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74" t="str">
        <f>IF(AND(Tabelle2[[#This Row],[Mitarbeiterzahl]]&gt;=10,H174&lt;=1000),"OK","Fehler")</f>
        <v>OK</v>
      </c>
      <c r="N174" t="str">
        <f>IF(AND(Tabelle2[[#This Row],[Umsatzpotenzial]]&gt;=1000,Tabelle2[[#This Row],[Umsatzpotenzial]]&lt;=50000), "OK","Fehler")</f>
        <v>OK</v>
      </c>
    </row>
    <row r="175" spans="1:14" x14ac:dyDescent="0.2">
      <c r="A175" s="2" t="s">
        <v>183</v>
      </c>
      <c r="B175" s="2" t="s">
        <v>211</v>
      </c>
      <c r="C175" s="2" t="s">
        <v>213</v>
      </c>
      <c r="D175" s="5">
        <v>46170</v>
      </c>
      <c r="E175" s="2" t="s">
        <v>220</v>
      </c>
      <c r="F175" s="2">
        <v>5540</v>
      </c>
      <c r="G175" s="2" t="s">
        <v>246</v>
      </c>
      <c r="H175" s="2">
        <v>430</v>
      </c>
      <c r="I175" s="2" t="s">
        <v>226</v>
      </c>
      <c r="J175" s="2" t="s">
        <v>230</v>
      </c>
      <c r="K175" s="2"/>
      <c r="L175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75" t="str">
        <f>IF(AND(Tabelle2[[#This Row],[Mitarbeiterzahl]]&gt;=10,H175&lt;=1000),"OK","Fehler")</f>
        <v>OK</v>
      </c>
      <c r="N175" t="str">
        <f>IF(AND(Tabelle2[[#This Row],[Umsatzpotenzial]]&gt;=1000,Tabelle2[[#This Row],[Umsatzpotenzial]]&lt;=50000), "OK","Fehler")</f>
        <v>OK</v>
      </c>
    </row>
    <row r="176" spans="1:14" x14ac:dyDescent="0.2">
      <c r="A176" s="1" t="s">
        <v>184</v>
      </c>
      <c r="B176" s="1" t="s">
        <v>233</v>
      </c>
      <c r="C176" s="1" t="s">
        <v>218</v>
      </c>
      <c r="D176" s="4">
        <v>46213</v>
      </c>
      <c r="E176" s="1" t="s">
        <v>222</v>
      </c>
      <c r="F176" s="1">
        <v>38109</v>
      </c>
      <c r="G176" s="1" t="s">
        <v>246</v>
      </c>
      <c r="H176" s="1">
        <v>474</v>
      </c>
      <c r="I176" s="1" t="s">
        <v>227</v>
      </c>
      <c r="J176" s="1" t="s">
        <v>229</v>
      </c>
      <c r="K176" s="2"/>
      <c r="L176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76" t="str">
        <f>IF(AND(Tabelle2[[#This Row],[Mitarbeiterzahl]]&gt;=10,H176&lt;=1000),"OK","Fehler")</f>
        <v>OK</v>
      </c>
      <c r="N176" t="str">
        <f>IF(AND(Tabelle2[[#This Row],[Umsatzpotenzial]]&gt;=1000,Tabelle2[[#This Row],[Umsatzpotenzial]]&lt;=50000), "OK","Fehler")</f>
        <v>OK</v>
      </c>
    </row>
    <row r="177" spans="1:14" x14ac:dyDescent="0.2">
      <c r="A177" s="2" t="s">
        <v>185</v>
      </c>
      <c r="B177" s="2" t="s">
        <v>233</v>
      </c>
      <c r="C177" s="2" t="s">
        <v>216</v>
      </c>
      <c r="D177" s="5">
        <v>46164</v>
      </c>
      <c r="E177" s="2" t="s">
        <v>221</v>
      </c>
      <c r="F177" s="2">
        <v>1735</v>
      </c>
      <c r="G177" s="2" t="s">
        <v>225</v>
      </c>
      <c r="H177" s="2">
        <v>194</v>
      </c>
      <c r="I177" s="2" t="s">
        <v>227</v>
      </c>
      <c r="J177" s="2" t="s">
        <v>231</v>
      </c>
      <c r="K177" s="2"/>
      <c r="L177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77" t="str">
        <f>IF(AND(Tabelle2[[#This Row],[Mitarbeiterzahl]]&gt;=10,H177&lt;=1000),"OK","Fehler")</f>
        <v>OK</v>
      </c>
      <c r="N177" t="str">
        <f>IF(AND(Tabelle2[[#This Row],[Umsatzpotenzial]]&gt;=1000,Tabelle2[[#This Row],[Umsatzpotenzial]]&lt;=50000), "OK","Fehler")</f>
        <v>OK</v>
      </c>
    </row>
    <row r="178" spans="1:14" x14ac:dyDescent="0.2">
      <c r="A178" s="1" t="s">
        <v>186</v>
      </c>
      <c r="B178" s="1" t="s">
        <v>233</v>
      </c>
      <c r="C178" s="1" t="s">
        <v>215</v>
      </c>
      <c r="D178" s="4">
        <v>46143</v>
      </c>
      <c r="E178" s="1" t="s">
        <v>220</v>
      </c>
      <c r="F178" s="1">
        <v>10129</v>
      </c>
      <c r="G178" s="1" t="s">
        <v>223</v>
      </c>
      <c r="H178" s="1">
        <v>782</v>
      </c>
      <c r="I178" s="1" t="s">
        <v>226</v>
      </c>
      <c r="J178" s="1" t="s">
        <v>232</v>
      </c>
      <c r="K178" s="2"/>
      <c r="L178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78" t="str">
        <f>IF(AND(Tabelle2[[#This Row],[Mitarbeiterzahl]]&gt;=10,H178&lt;=1000),"OK","Fehler")</f>
        <v>OK</v>
      </c>
      <c r="N178" t="str">
        <f>IF(AND(Tabelle2[[#This Row],[Umsatzpotenzial]]&gt;=1000,Tabelle2[[#This Row],[Umsatzpotenzial]]&lt;=50000), "OK","Fehler")</f>
        <v>OK</v>
      </c>
    </row>
    <row r="179" spans="1:14" x14ac:dyDescent="0.2">
      <c r="A179" s="2" t="s">
        <v>187</v>
      </c>
      <c r="B179" s="2" t="s">
        <v>211</v>
      </c>
      <c r="C179" s="2" t="s">
        <v>217</v>
      </c>
      <c r="D179" s="5">
        <v>46182</v>
      </c>
      <c r="E179" s="2" t="s">
        <v>222</v>
      </c>
      <c r="F179" s="2">
        <v>17479</v>
      </c>
      <c r="G179" s="2" t="s">
        <v>224</v>
      </c>
      <c r="H179" s="2">
        <v>671</v>
      </c>
      <c r="I179" s="2" t="s">
        <v>227</v>
      </c>
      <c r="J179" s="2" t="s">
        <v>229</v>
      </c>
      <c r="K179" s="2"/>
      <c r="L179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79" t="str">
        <f>IF(AND(Tabelle2[[#This Row],[Mitarbeiterzahl]]&gt;=10,H179&lt;=1000),"OK","Fehler")</f>
        <v>OK</v>
      </c>
      <c r="N179" t="str">
        <f>IF(AND(Tabelle2[[#This Row],[Umsatzpotenzial]]&gt;=1000,Tabelle2[[#This Row],[Umsatzpotenzial]]&lt;=50000), "OK","Fehler")</f>
        <v>OK</v>
      </c>
    </row>
    <row r="180" spans="1:14" x14ac:dyDescent="0.2">
      <c r="A180" s="1" t="s">
        <v>188</v>
      </c>
      <c r="B180" s="1" t="s">
        <v>211</v>
      </c>
      <c r="C180" s="1" t="s">
        <v>213</v>
      </c>
      <c r="D180" s="4">
        <v>46126</v>
      </c>
      <c r="E180" s="1" t="s">
        <v>220</v>
      </c>
      <c r="F180" s="1">
        <v>35079</v>
      </c>
      <c r="G180" s="1" t="s">
        <v>224</v>
      </c>
      <c r="H180" s="1">
        <v>120</v>
      </c>
      <c r="I180" s="1" t="s">
        <v>226</v>
      </c>
      <c r="J180" s="1" t="s">
        <v>230</v>
      </c>
      <c r="K180" s="2"/>
      <c r="L180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80" t="str">
        <f>IF(AND(Tabelle2[[#This Row],[Mitarbeiterzahl]]&gt;=10,H180&lt;=1000),"OK","Fehler")</f>
        <v>OK</v>
      </c>
      <c r="N180" t="str">
        <f>IF(AND(Tabelle2[[#This Row],[Umsatzpotenzial]]&gt;=1000,Tabelle2[[#This Row],[Umsatzpotenzial]]&lt;=50000), "OK","Fehler")</f>
        <v>OK</v>
      </c>
    </row>
    <row r="181" spans="1:14" x14ac:dyDescent="0.2">
      <c r="A181" s="2" t="s">
        <v>189</v>
      </c>
      <c r="B181" s="2" t="s">
        <v>234</v>
      </c>
      <c r="C181" s="2" t="s">
        <v>214</v>
      </c>
      <c r="D181" s="5">
        <v>46191</v>
      </c>
      <c r="E181" s="2" t="s">
        <v>222</v>
      </c>
      <c r="F181" s="2">
        <v>18643</v>
      </c>
      <c r="G181" s="2" t="s">
        <v>224</v>
      </c>
      <c r="H181" s="2">
        <v>326</v>
      </c>
      <c r="I181" s="2" t="s">
        <v>227</v>
      </c>
      <c r="J181" s="2" t="s">
        <v>231</v>
      </c>
      <c r="K181" s="2"/>
      <c r="L181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81" t="str">
        <f>IF(AND(Tabelle2[[#This Row],[Mitarbeiterzahl]]&gt;=10,H181&lt;=1000),"OK","Fehler")</f>
        <v>OK</v>
      </c>
      <c r="N181" t="str">
        <f>IF(AND(Tabelle2[[#This Row],[Umsatzpotenzial]]&gt;=1000,Tabelle2[[#This Row],[Umsatzpotenzial]]&lt;=50000), "OK","Fehler")</f>
        <v>OK</v>
      </c>
    </row>
    <row r="182" spans="1:14" x14ac:dyDescent="0.2">
      <c r="A182" s="1" t="s">
        <v>190</v>
      </c>
      <c r="B182" s="1" t="s">
        <v>210</v>
      </c>
      <c r="C182" s="1" t="s">
        <v>219</v>
      </c>
      <c r="D182" s="4">
        <v>46187</v>
      </c>
      <c r="E182" s="1" t="s">
        <v>221</v>
      </c>
      <c r="F182" s="1">
        <v>6296</v>
      </c>
      <c r="G182" s="1" t="s">
        <v>223</v>
      </c>
      <c r="H182" s="1">
        <v>921</v>
      </c>
      <c r="I182" s="1" t="s">
        <v>227</v>
      </c>
      <c r="J182" s="1" t="s">
        <v>229</v>
      </c>
      <c r="K182" s="2"/>
      <c r="L182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82" t="str">
        <f>IF(AND(Tabelle2[[#This Row],[Mitarbeiterzahl]]&gt;=10,H182&lt;=1000),"OK","Fehler")</f>
        <v>OK</v>
      </c>
      <c r="N182" t="str">
        <f>IF(AND(Tabelle2[[#This Row],[Umsatzpotenzial]]&gt;=1000,Tabelle2[[#This Row],[Umsatzpotenzial]]&lt;=50000), "OK","Fehler")</f>
        <v>OK</v>
      </c>
    </row>
    <row r="183" spans="1:14" x14ac:dyDescent="0.2">
      <c r="A183" s="2" t="s">
        <v>191</v>
      </c>
      <c r="B183" s="2" t="s">
        <v>233</v>
      </c>
      <c r="C183" s="2" t="s">
        <v>213</v>
      </c>
      <c r="D183" s="5">
        <v>46184</v>
      </c>
      <c r="E183" s="2" t="s">
        <v>221</v>
      </c>
      <c r="F183" s="2">
        <v>14976</v>
      </c>
      <c r="G183" s="2" t="s">
        <v>228</v>
      </c>
      <c r="H183" s="2">
        <v>448</v>
      </c>
      <c r="I183" s="2" t="s">
        <v>227</v>
      </c>
      <c r="J183" s="2" t="s">
        <v>232</v>
      </c>
      <c r="K183" s="2"/>
      <c r="L183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83" t="str">
        <f>IF(AND(Tabelle2[[#This Row],[Mitarbeiterzahl]]&gt;=10,H183&lt;=1000),"OK","Fehler")</f>
        <v>OK</v>
      </c>
      <c r="N183" t="str">
        <f>IF(AND(Tabelle2[[#This Row],[Umsatzpotenzial]]&gt;=1000,Tabelle2[[#This Row],[Umsatzpotenzial]]&lt;=50000), "OK","Fehler")</f>
        <v>OK</v>
      </c>
    </row>
    <row r="184" spans="1:14" x14ac:dyDescent="0.2">
      <c r="A184" s="1" t="s">
        <v>192</v>
      </c>
      <c r="B184" s="1" t="s">
        <v>234</v>
      </c>
      <c r="C184" s="1" t="s">
        <v>213</v>
      </c>
      <c r="D184" s="4">
        <v>46094</v>
      </c>
      <c r="E184" s="1" t="s">
        <v>222</v>
      </c>
      <c r="F184" s="1">
        <v>26546</v>
      </c>
      <c r="G184" s="1" t="s">
        <v>228</v>
      </c>
      <c r="H184" s="1">
        <v>756</v>
      </c>
      <c r="I184" s="1" t="s">
        <v>227</v>
      </c>
      <c r="J184" s="1" t="s">
        <v>230</v>
      </c>
      <c r="K184" s="2"/>
      <c r="L184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84" t="str">
        <f>IF(AND(Tabelle2[[#This Row],[Mitarbeiterzahl]]&gt;=10,H184&lt;=1000),"OK","Fehler")</f>
        <v>OK</v>
      </c>
      <c r="N184" t="str">
        <f>IF(AND(Tabelle2[[#This Row],[Umsatzpotenzial]]&gt;=1000,Tabelle2[[#This Row],[Umsatzpotenzial]]&lt;=50000), "OK","Fehler")</f>
        <v>OK</v>
      </c>
    </row>
    <row r="185" spans="1:14" x14ac:dyDescent="0.2">
      <c r="A185" s="2" t="s">
        <v>193</v>
      </c>
      <c r="B185" s="2" t="s">
        <v>233</v>
      </c>
      <c r="C185" s="2" t="s">
        <v>213</v>
      </c>
      <c r="D185" s="5">
        <v>46261</v>
      </c>
      <c r="E185" s="2" t="s">
        <v>220</v>
      </c>
      <c r="F185" s="2">
        <v>14426</v>
      </c>
      <c r="G185" s="2" t="s">
        <v>223</v>
      </c>
      <c r="H185" s="2">
        <v>405</v>
      </c>
      <c r="I185" s="2" t="s">
        <v>226</v>
      </c>
      <c r="J185" s="2" t="s">
        <v>229</v>
      </c>
      <c r="K185" s="2"/>
      <c r="L185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85" t="str">
        <f>IF(AND(Tabelle2[[#This Row],[Mitarbeiterzahl]]&gt;=10,H185&lt;=1000),"OK","Fehler")</f>
        <v>OK</v>
      </c>
      <c r="N185" t="str">
        <f>IF(AND(Tabelle2[[#This Row],[Umsatzpotenzial]]&gt;=1000,Tabelle2[[#This Row],[Umsatzpotenzial]]&lt;=50000), "OK","Fehler")</f>
        <v>OK</v>
      </c>
    </row>
    <row r="186" spans="1:14" x14ac:dyDescent="0.2">
      <c r="A186" s="1" t="s">
        <v>194</v>
      </c>
      <c r="B186" s="1" t="s">
        <v>234</v>
      </c>
      <c r="C186" s="1" t="s">
        <v>213</v>
      </c>
      <c r="D186" s="4">
        <v>46208</v>
      </c>
      <c r="E186" s="1" t="s">
        <v>222</v>
      </c>
      <c r="F186" s="1">
        <v>7566</v>
      </c>
      <c r="G186" s="1" t="s">
        <v>223</v>
      </c>
      <c r="H186" s="1">
        <v>316</v>
      </c>
      <c r="I186" s="1" t="s">
        <v>227</v>
      </c>
      <c r="J186" s="1" t="s">
        <v>232</v>
      </c>
      <c r="K186" s="2"/>
      <c r="L186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86" t="str">
        <f>IF(AND(Tabelle2[[#This Row],[Mitarbeiterzahl]]&gt;=10,H186&lt;=1000),"OK","Fehler")</f>
        <v>OK</v>
      </c>
      <c r="N186" t="str">
        <f>IF(AND(Tabelle2[[#This Row],[Umsatzpotenzial]]&gt;=1000,Tabelle2[[#This Row],[Umsatzpotenzial]]&lt;=50000), "OK","Fehler")</f>
        <v>OK</v>
      </c>
    </row>
    <row r="187" spans="1:14" x14ac:dyDescent="0.2">
      <c r="A187" s="2" t="s">
        <v>195</v>
      </c>
      <c r="B187" s="2" t="s">
        <v>210</v>
      </c>
      <c r="C187" s="2" t="s">
        <v>218</v>
      </c>
      <c r="D187" s="5">
        <v>46137</v>
      </c>
      <c r="E187" s="2" t="s">
        <v>222</v>
      </c>
      <c r="F187" s="2">
        <v>6226</v>
      </c>
      <c r="G187" s="2" t="s">
        <v>228</v>
      </c>
      <c r="H187" s="2">
        <v>114</v>
      </c>
      <c r="I187" s="2" t="s">
        <v>227</v>
      </c>
      <c r="J187" s="2" t="s">
        <v>231</v>
      </c>
      <c r="K187" s="2"/>
      <c r="L187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87" t="str">
        <f>IF(AND(Tabelle2[[#This Row],[Mitarbeiterzahl]]&gt;=10,H187&lt;=1000),"OK","Fehler")</f>
        <v>OK</v>
      </c>
      <c r="N187" t="str">
        <f>IF(AND(Tabelle2[[#This Row],[Umsatzpotenzial]]&gt;=1000,Tabelle2[[#This Row],[Umsatzpotenzial]]&lt;=50000), "OK","Fehler")</f>
        <v>OK</v>
      </c>
    </row>
    <row r="188" spans="1:14" x14ac:dyDescent="0.2">
      <c r="A188" s="1" t="s">
        <v>196</v>
      </c>
      <c r="B188" s="1" t="s">
        <v>234</v>
      </c>
      <c r="C188" s="1" t="s">
        <v>218</v>
      </c>
      <c r="D188" s="4">
        <v>46224</v>
      </c>
      <c r="E188" s="1" t="s">
        <v>221</v>
      </c>
      <c r="F188" s="1">
        <v>38406</v>
      </c>
      <c r="G188" s="1" t="s">
        <v>225</v>
      </c>
      <c r="H188" s="1">
        <v>294</v>
      </c>
      <c r="I188" s="1" t="s">
        <v>227</v>
      </c>
      <c r="J188" s="1" t="s">
        <v>232</v>
      </c>
      <c r="K188" s="2"/>
      <c r="L188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88" t="str">
        <f>IF(AND(Tabelle2[[#This Row],[Mitarbeiterzahl]]&gt;=10,H188&lt;=1000),"OK","Fehler")</f>
        <v>OK</v>
      </c>
      <c r="N188" t="str">
        <f>IF(AND(Tabelle2[[#This Row],[Umsatzpotenzial]]&gt;=1000,Tabelle2[[#This Row],[Umsatzpotenzial]]&lt;=50000), "OK","Fehler")</f>
        <v>OK</v>
      </c>
    </row>
    <row r="189" spans="1:14" x14ac:dyDescent="0.2">
      <c r="A189" s="2" t="s">
        <v>197</v>
      </c>
      <c r="B189" s="2" t="s">
        <v>211</v>
      </c>
      <c r="C189" s="2" t="s">
        <v>215</v>
      </c>
      <c r="D189" s="5">
        <v>46248</v>
      </c>
      <c r="E189" s="2" t="s">
        <v>222</v>
      </c>
      <c r="F189" s="2">
        <v>36602</v>
      </c>
      <c r="G189" s="2" t="s">
        <v>224</v>
      </c>
      <c r="H189" s="2">
        <v>558</v>
      </c>
      <c r="I189" s="2" t="s">
        <v>227</v>
      </c>
      <c r="J189" s="2" t="s">
        <v>232</v>
      </c>
      <c r="K189" s="2"/>
      <c r="L189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89" t="str">
        <f>IF(AND(Tabelle2[[#This Row],[Mitarbeiterzahl]]&gt;=10,H189&lt;=1000),"OK","Fehler")</f>
        <v>OK</v>
      </c>
      <c r="N189" t="str">
        <f>IF(AND(Tabelle2[[#This Row],[Umsatzpotenzial]]&gt;=1000,Tabelle2[[#This Row],[Umsatzpotenzial]]&lt;=50000), "OK","Fehler")</f>
        <v>OK</v>
      </c>
    </row>
    <row r="190" spans="1:14" x14ac:dyDescent="0.2">
      <c r="A190" s="1" t="s">
        <v>198</v>
      </c>
      <c r="B190" s="1" t="s">
        <v>233</v>
      </c>
      <c r="C190" s="1" t="s">
        <v>218</v>
      </c>
      <c r="D190" s="4">
        <v>46226</v>
      </c>
      <c r="E190" s="1" t="s">
        <v>220</v>
      </c>
      <c r="F190" s="1">
        <v>40091</v>
      </c>
      <c r="G190" s="1" t="s">
        <v>246</v>
      </c>
      <c r="H190" s="1">
        <v>59</v>
      </c>
      <c r="I190" s="1" t="s">
        <v>226</v>
      </c>
      <c r="J190" s="1" t="s">
        <v>230</v>
      </c>
      <c r="K190" s="2"/>
      <c r="L190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90" t="str">
        <f>IF(AND(Tabelle2[[#This Row],[Mitarbeiterzahl]]&gt;=10,H190&lt;=1000),"OK","Fehler")</f>
        <v>OK</v>
      </c>
      <c r="N190" t="str">
        <f>IF(AND(Tabelle2[[#This Row],[Umsatzpotenzial]]&gt;=1000,Tabelle2[[#This Row],[Umsatzpotenzial]]&lt;=50000), "OK","Fehler")</f>
        <v>OK</v>
      </c>
    </row>
    <row r="191" spans="1:14" x14ac:dyDescent="0.2">
      <c r="A191" s="2" t="s">
        <v>199</v>
      </c>
      <c r="B191" s="2" t="s">
        <v>234</v>
      </c>
      <c r="C191" s="2" t="s">
        <v>219</v>
      </c>
      <c r="D191" s="5">
        <v>46185</v>
      </c>
      <c r="E191" s="2" t="s">
        <v>220</v>
      </c>
      <c r="F191" s="2">
        <v>32843</v>
      </c>
      <c r="G191" s="2" t="s">
        <v>224</v>
      </c>
      <c r="H191" s="2">
        <v>127</v>
      </c>
      <c r="I191" s="2" t="s">
        <v>226</v>
      </c>
      <c r="J191" s="2" t="s">
        <v>230</v>
      </c>
      <c r="K191" s="2"/>
      <c r="L191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91" t="str">
        <f>IF(AND(Tabelle2[[#This Row],[Mitarbeiterzahl]]&gt;=10,H191&lt;=1000),"OK","Fehler")</f>
        <v>OK</v>
      </c>
      <c r="N191" t="str">
        <f>IF(AND(Tabelle2[[#This Row],[Umsatzpotenzial]]&gt;=1000,Tabelle2[[#This Row],[Umsatzpotenzial]]&lt;=50000), "OK","Fehler")</f>
        <v>OK</v>
      </c>
    </row>
    <row r="192" spans="1:14" x14ac:dyDescent="0.2">
      <c r="A192" s="1" t="s">
        <v>200</v>
      </c>
      <c r="B192" s="1" t="s">
        <v>212</v>
      </c>
      <c r="C192" s="1" t="s">
        <v>217</v>
      </c>
      <c r="D192" s="4">
        <v>46193</v>
      </c>
      <c r="E192" s="1" t="s">
        <v>221</v>
      </c>
      <c r="F192" s="1">
        <v>44789</v>
      </c>
      <c r="G192" s="1" t="s">
        <v>224</v>
      </c>
      <c r="H192" s="1">
        <v>821</v>
      </c>
      <c r="I192" s="1" t="s">
        <v>227</v>
      </c>
      <c r="J192" s="1" t="s">
        <v>232</v>
      </c>
      <c r="K192" s="2"/>
      <c r="L192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92" t="str">
        <f>IF(AND(Tabelle2[[#This Row],[Mitarbeiterzahl]]&gt;=10,H192&lt;=1000),"OK","Fehler")</f>
        <v>OK</v>
      </c>
      <c r="N192" t="str">
        <f>IF(AND(Tabelle2[[#This Row],[Umsatzpotenzial]]&gt;=1000,Tabelle2[[#This Row],[Umsatzpotenzial]]&lt;=50000), "OK","Fehler")</f>
        <v>OK</v>
      </c>
    </row>
    <row r="193" spans="1:14" x14ac:dyDescent="0.2">
      <c r="A193" s="2" t="s">
        <v>201</v>
      </c>
      <c r="B193" s="2" t="s">
        <v>212</v>
      </c>
      <c r="C193" s="2" t="s">
        <v>214</v>
      </c>
      <c r="D193" s="5">
        <v>46264</v>
      </c>
      <c r="E193" s="2" t="s">
        <v>221</v>
      </c>
      <c r="F193" s="2">
        <v>15844</v>
      </c>
      <c r="G193" s="2" t="s">
        <v>246</v>
      </c>
      <c r="H193" s="2">
        <v>909</v>
      </c>
      <c r="I193" s="2" t="s">
        <v>227</v>
      </c>
      <c r="J193" s="2" t="s">
        <v>231</v>
      </c>
      <c r="K193" s="2"/>
      <c r="L193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93" t="str">
        <f>IF(AND(Tabelle2[[#This Row],[Mitarbeiterzahl]]&gt;=10,H193&lt;=1000),"OK","Fehler")</f>
        <v>OK</v>
      </c>
      <c r="N193" t="str">
        <f>IF(AND(Tabelle2[[#This Row],[Umsatzpotenzial]]&gt;=1000,Tabelle2[[#This Row],[Umsatzpotenzial]]&lt;=50000), "OK","Fehler")</f>
        <v>OK</v>
      </c>
    </row>
    <row r="194" spans="1:14" x14ac:dyDescent="0.2">
      <c r="A194" s="1" t="s">
        <v>202</v>
      </c>
      <c r="B194" s="1" t="s">
        <v>234</v>
      </c>
      <c r="C194" s="1" t="s">
        <v>216</v>
      </c>
      <c r="D194" s="4">
        <v>46083</v>
      </c>
      <c r="E194" s="1" t="s">
        <v>222</v>
      </c>
      <c r="F194" s="1">
        <v>3760</v>
      </c>
      <c r="G194" s="1" t="s">
        <v>228</v>
      </c>
      <c r="H194" s="1">
        <v>992</v>
      </c>
      <c r="I194" s="1" t="s">
        <v>227</v>
      </c>
      <c r="J194" s="1" t="s">
        <v>229</v>
      </c>
      <c r="K194" s="2"/>
      <c r="L194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94" t="str">
        <f>IF(AND(Tabelle2[[#This Row],[Mitarbeiterzahl]]&gt;=10,H194&lt;=1000),"OK","Fehler")</f>
        <v>OK</v>
      </c>
      <c r="N194" t="str">
        <f>IF(AND(Tabelle2[[#This Row],[Umsatzpotenzial]]&gt;=1000,Tabelle2[[#This Row],[Umsatzpotenzial]]&lt;=50000), "OK","Fehler")</f>
        <v>OK</v>
      </c>
    </row>
    <row r="195" spans="1:14" x14ac:dyDescent="0.2">
      <c r="A195" s="2" t="s">
        <v>203</v>
      </c>
      <c r="B195" s="2" t="s">
        <v>211</v>
      </c>
      <c r="C195" s="2" t="s">
        <v>218</v>
      </c>
      <c r="D195" s="5">
        <v>46127</v>
      </c>
      <c r="E195" s="2" t="s">
        <v>221</v>
      </c>
      <c r="F195" s="2">
        <v>25720</v>
      </c>
      <c r="G195" s="2" t="s">
        <v>225</v>
      </c>
      <c r="H195" s="2">
        <v>308</v>
      </c>
      <c r="I195" s="2" t="s">
        <v>227</v>
      </c>
      <c r="J195" s="2" t="s">
        <v>232</v>
      </c>
      <c r="K195" s="2"/>
      <c r="L195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95" t="str">
        <f>IF(AND(Tabelle2[[#This Row],[Mitarbeiterzahl]]&gt;=10,H195&lt;=1000),"OK","Fehler")</f>
        <v>OK</v>
      </c>
      <c r="N195" t="str">
        <f>IF(AND(Tabelle2[[#This Row],[Umsatzpotenzial]]&gt;=1000,Tabelle2[[#This Row],[Umsatzpotenzial]]&lt;=50000), "OK","Fehler")</f>
        <v>OK</v>
      </c>
    </row>
    <row r="196" spans="1:14" x14ac:dyDescent="0.2">
      <c r="A196" s="1" t="s">
        <v>204</v>
      </c>
      <c r="B196" s="1" t="s">
        <v>233</v>
      </c>
      <c r="C196" s="1" t="s">
        <v>214</v>
      </c>
      <c r="D196" s="4">
        <v>46099</v>
      </c>
      <c r="E196" s="1" t="s">
        <v>220</v>
      </c>
      <c r="F196" s="1">
        <v>28150</v>
      </c>
      <c r="G196" s="1" t="s">
        <v>228</v>
      </c>
      <c r="H196" s="1">
        <v>580</v>
      </c>
      <c r="I196" s="1" t="s">
        <v>226</v>
      </c>
      <c r="J196" s="1" t="s">
        <v>229</v>
      </c>
      <c r="K196" s="2"/>
      <c r="L196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96" t="str">
        <f>IF(AND(Tabelle2[[#This Row],[Mitarbeiterzahl]]&gt;=10,H196&lt;=1000),"OK","Fehler")</f>
        <v>OK</v>
      </c>
      <c r="N196" t="str">
        <f>IF(AND(Tabelle2[[#This Row],[Umsatzpotenzial]]&gt;=1000,Tabelle2[[#This Row],[Umsatzpotenzial]]&lt;=50000), "OK","Fehler")</f>
        <v>OK</v>
      </c>
    </row>
    <row r="197" spans="1:14" x14ac:dyDescent="0.2">
      <c r="A197" s="2" t="s">
        <v>205</v>
      </c>
      <c r="B197" s="2" t="s">
        <v>211</v>
      </c>
      <c r="C197" s="2" t="s">
        <v>214</v>
      </c>
      <c r="D197" s="5">
        <v>46141</v>
      </c>
      <c r="E197" s="2" t="s">
        <v>220</v>
      </c>
      <c r="F197" s="2">
        <v>4497</v>
      </c>
      <c r="G197" s="2" t="s">
        <v>224</v>
      </c>
      <c r="H197" s="2">
        <v>461</v>
      </c>
      <c r="I197" s="2" t="s">
        <v>226</v>
      </c>
      <c r="J197" s="2" t="s">
        <v>232</v>
      </c>
      <c r="K197" s="2"/>
      <c r="L197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97" t="str">
        <f>IF(AND(Tabelle2[[#This Row],[Mitarbeiterzahl]]&gt;=10,H197&lt;=1000),"OK","Fehler")</f>
        <v>OK</v>
      </c>
      <c r="N197" t="str">
        <f>IF(AND(Tabelle2[[#This Row],[Umsatzpotenzial]]&gt;=1000,Tabelle2[[#This Row],[Umsatzpotenzial]]&lt;=50000), "OK","Fehler")</f>
        <v>OK</v>
      </c>
    </row>
    <row r="198" spans="1:14" x14ac:dyDescent="0.2">
      <c r="A198" s="1" t="s">
        <v>206</v>
      </c>
      <c r="B198" s="1" t="s">
        <v>211</v>
      </c>
      <c r="C198" s="1" t="s">
        <v>218</v>
      </c>
      <c r="D198" s="4">
        <v>46086</v>
      </c>
      <c r="E198" s="1" t="s">
        <v>220</v>
      </c>
      <c r="F198" s="1">
        <v>2272</v>
      </c>
      <c r="G198" s="1" t="s">
        <v>224</v>
      </c>
      <c r="H198" s="1">
        <v>173</v>
      </c>
      <c r="I198" s="1" t="s">
        <v>226</v>
      </c>
      <c r="J198" s="1" t="s">
        <v>231</v>
      </c>
      <c r="K198" s="2"/>
      <c r="L198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98" t="str">
        <f>IF(AND(Tabelle2[[#This Row],[Mitarbeiterzahl]]&gt;=10,H198&lt;=1000),"OK","Fehler")</f>
        <v>OK</v>
      </c>
      <c r="N198" t="str">
        <f>IF(AND(Tabelle2[[#This Row],[Umsatzpotenzial]]&gt;=1000,Tabelle2[[#This Row],[Umsatzpotenzial]]&lt;=50000), "OK","Fehler")</f>
        <v>OK</v>
      </c>
    </row>
    <row r="199" spans="1:14" x14ac:dyDescent="0.2">
      <c r="A199" s="2" t="s">
        <v>207</v>
      </c>
      <c r="B199" s="2" t="s">
        <v>211</v>
      </c>
      <c r="C199" s="2" t="s">
        <v>214</v>
      </c>
      <c r="D199" s="5">
        <v>46174</v>
      </c>
      <c r="E199" s="2" t="s">
        <v>220</v>
      </c>
      <c r="F199" s="2">
        <v>4501</v>
      </c>
      <c r="G199" s="2" t="s">
        <v>223</v>
      </c>
      <c r="H199" s="2">
        <v>282</v>
      </c>
      <c r="I199" s="2" t="s">
        <v>226</v>
      </c>
      <c r="J199" s="2" t="s">
        <v>229</v>
      </c>
      <c r="K199" s="2"/>
      <c r="L199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199" t="str">
        <f>IF(AND(Tabelle2[[#This Row],[Mitarbeiterzahl]]&gt;=10,H199&lt;=1000),"OK","Fehler")</f>
        <v>OK</v>
      </c>
      <c r="N199" t="str">
        <f>IF(AND(Tabelle2[[#This Row],[Umsatzpotenzial]]&gt;=1000,Tabelle2[[#This Row],[Umsatzpotenzial]]&lt;=50000), "OK","Fehler")</f>
        <v>OK</v>
      </c>
    </row>
    <row r="200" spans="1:14" x14ac:dyDescent="0.2">
      <c r="A200" s="1" t="s">
        <v>208</v>
      </c>
      <c r="B200" s="1" t="s">
        <v>212</v>
      </c>
      <c r="C200" s="1" t="s">
        <v>219</v>
      </c>
      <c r="D200" s="4">
        <v>46220</v>
      </c>
      <c r="E200" s="1" t="s">
        <v>222</v>
      </c>
      <c r="F200" s="1">
        <v>3600</v>
      </c>
      <c r="G200" s="1" t="s">
        <v>223</v>
      </c>
      <c r="H200" s="1">
        <v>150</v>
      </c>
      <c r="I200" s="1" t="s">
        <v>227</v>
      </c>
      <c r="J200" s="1" t="s">
        <v>229</v>
      </c>
      <c r="K200" s="2"/>
      <c r="L200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200" t="str">
        <f>IF(AND(Tabelle2[[#This Row],[Mitarbeiterzahl]]&gt;=10,H200&lt;=1000),"OK","Fehler")</f>
        <v>OK</v>
      </c>
      <c r="N200" t="str">
        <f>IF(AND(Tabelle2[[#This Row],[Umsatzpotenzial]]&gt;=1000,Tabelle2[[#This Row],[Umsatzpotenzial]]&lt;=50000), "OK","Fehler")</f>
        <v>OK</v>
      </c>
    </row>
    <row r="201" spans="1:14" x14ac:dyDescent="0.2">
      <c r="A201" s="7" t="s">
        <v>209</v>
      </c>
      <c r="B201" s="7" t="s">
        <v>212</v>
      </c>
      <c r="C201" s="7" t="s">
        <v>218</v>
      </c>
      <c r="D201" s="8">
        <v>46139</v>
      </c>
      <c r="E201" s="7" t="s">
        <v>222</v>
      </c>
      <c r="F201" s="7">
        <v>1489</v>
      </c>
      <c r="G201" s="7" t="s">
        <v>246</v>
      </c>
      <c r="H201" s="7">
        <v>832</v>
      </c>
      <c r="I201" s="7" t="s">
        <v>227</v>
      </c>
      <c r="J201" s="7" t="s">
        <v>230</v>
      </c>
      <c r="K201" s="7"/>
      <c r="L201" t="str">
        <f>IF(OR(AND(Tabelle2[[#This Row],[Status]]="Gewonnen",Tabelle2[[#This Row],[Conversion]]="Ja"),AND(Tabelle2[[#This Row],[Status]]="Verloren",Tabelle2[[#This Row],[Conversion]]="Nein"),AND(Tabelle2[[#This Row],[Status]]="Offen",Tabelle2[[#This Row],[Conversion]]="Nein")),"OK", "Fehler")</f>
        <v>OK</v>
      </c>
      <c r="M201" t="str">
        <f>IF(AND(Tabelle2[[#This Row],[Mitarbeiterzahl]]&gt;=10,H201&lt;=1000),"OK","Fehler")</f>
        <v>OK</v>
      </c>
      <c r="N201" t="str">
        <f>IF(AND(Tabelle2[[#This Row],[Umsatzpotenzial]]&gt;=1000,Tabelle2[[#This Row],[Umsatzpotenzial]]&lt;=50000), "OK","Fehler")</f>
        <v>OK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AC6FC-EC2A-5B4C-B526-0494F0646B29}">
  <sheetPr codeName="Tabelle3"/>
  <dimension ref="A1:D30"/>
  <sheetViews>
    <sheetView topLeftCell="A15" workbookViewId="0">
      <selection activeCell="E34" sqref="E34"/>
    </sheetView>
  </sheetViews>
  <sheetFormatPr baseColWidth="10" defaultRowHeight="16" x14ac:dyDescent="0.2"/>
  <cols>
    <col min="1" max="1" width="22" bestFit="1" customWidth="1"/>
    <col min="2" max="2" width="15.5" bestFit="1" customWidth="1"/>
    <col min="3" max="3" width="11.1640625" bestFit="1" customWidth="1"/>
    <col min="4" max="4" width="14.5" bestFit="1" customWidth="1"/>
  </cols>
  <sheetData>
    <row r="1" spans="1:4" x14ac:dyDescent="0.2">
      <c r="A1" t="s">
        <v>239</v>
      </c>
    </row>
    <row r="3" spans="1:4" x14ac:dyDescent="0.2">
      <c r="A3" t="s">
        <v>240</v>
      </c>
      <c r="B3" t="s">
        <v>241</v>
      </c>
    </row>
    <row r="4" spans="1:4" x14ac:dyDescent="0.2">
      <c r="A4" t="s">
        <v>242</v>
      </c>
      <c r="B4">
        <f>COUNTA('Bereinigte Daten'!A2:A201)</f>
        <v>200</v>
      </c>
    </row>
    <row r="5" spans="1:4" x14ac:dyDescent="0.2">
      <c r="A5" t="s">
        <v>8</v>
      </c>
      <c r="B5">
        <f>COUNTIF('Bereinigte Daten'!I2:I201,"Ja")</f>
        <v>79</v>
      </c>
    </row>
    <row r="6" spans="1:4" x14ac:dyDescent="0.2">
      <c r="A6" t="s">
        <v>243</v>
      </c>
      <c r="B6" s="12">
        <f>B5/B4</f>
        <v>0.39500000000000002</v>
      </c>
    </row>
    <row r="7" spans="1:4" x14ac:dyDescent="0.2">
      <c r="A7" t="s">
        <v>244</v>
      </c>
      <c r="B7" s="11">
        <f>SUM('Bereinigte Daten'!F2:F201)</f>
        <v>5270862</v>
      </c>
    </row>
    <row r="10" spans="1:4" x14ac:dyDescent="0.2">
      <c r="A10" t="s">
        <v>1</v>
      </c>
      <c r="B10" t="s">
        <v>242</v>
      </c>
      <c r="C10" t="s">
        <v>245</v>
      </c>
      <c r="D10" t="s">
        <v>243</v>
      </c>
    </row>
    <row r="11" spans="1:4" x14ac:dyDescent="0.2">
      <c r="A11" t="s">
        <v>234</v>
      </c>
      <c r="B11">
        <f>COUNTIF('Bereinigte Daten'!B:B,A11)</f>
        <v>35</v>
      </c>
      <c r="C11">
        <f>COUNTIFS('Bereinigte Daten'!B:B,A11, 'Bereinigte Daten'!I:I,"Ja")</f>
        <v>10</v>
      </c>
      <c r="D11" s="10">
        <f>C11/B11</f>
        <v>0.2857142857142857</v>
      </c>
    </row>
    <row r="12" spans="1:4" x14ac:dyDescent="0.2">
      <c r="A12" t="s">
        <v>210</v>
      </c>
      <c r="B12">
        <f>COUNTIF('Bereinigte Daten'!B:B,A12)</f>
        <v>41</v>
      </c>
      <c r="C12">
        <f>COUNTIFS('Bereinigte Daten'!B:B,A12, 'Bereinigte Daten'!I:I,"Ja")</f>
        <v>14</v>
      </c>
      <c r="D12" s="10">
        <f>C12/B12</f>
        <v>0.34146341463414637</v>
      </c>
    </row>
    <row r="13" spans="1:4" x14ac:dyDescent="0.2">
      <c r="A13" t="s">
        <v>212</v>
      </c>
      <c r="B13">
        <f>COUNTIF('Bereinigte Daten'!B:B,A13)</f>
        <v>44</v>
      </c>
      <c r="C13">
        <f>COUNTIFS('Bereinigte Daten'!B:B,A13, 'Bereinigte Daten'!I:I,"Ja")</f>
        <v>17</v>
      </c>
      <c r="D13" s="10">
        <f>C13/B13</f>
        <v>0.38636363636363635</v>
      </c>
    </row>
    <row r="14" spans="1:4" x14ac:dyDescent="0.2">
      <c r="A14" t="s">
        <v>211</v>
      </c>
      <c r="B14">
        <f>COUNTIF('Bereinigte Daten'!B:B,A14)</f>
        <v>43</v>
      </c>
      <c r="C14">
        <f>COUNTIFS('Bereinigte Daten'!B:B,A14, 'Bereinigte Daten'!I:I,"Ja")</f>
        <v>19</v>
      </c>
      <c r="D14" s="10">
        <f>C14/B14</f>
        <v>0.44186046511627908</v>
      </c>
    </row>
    <row r="15" spans="1:4" x14ac:dyDescent="0.2">
      <c r="A15" t="s">
        <v>233</v>
      </c>
      <c r="B15">
        <f>COUNTIF('Bereinigte Daten'!B:B,A15)</f>
        <v>37</v>
      </c>
      <c r="C15">
        <f>COUNTIFS('Bereinigte Daten'!B:B,A15, 'Bereinigte Daten'!I:I,"Ja")</f>
        <v>19</v>
      </c>
      <c r="D15" s="10">
        <f>C15/B15</f>
        <v>0.51351351351351349</v>
      </c>
    </row>
    <row r="18" spans="1:4" x14ac:dyDescent="0.2">
      <c r="A18" t="s">
        <v>9</v>
      </c>
      <c r="B18" t="s">
        <v>242</v>
      </c>
      <c r="C18" t="s">
        <v>245</v>
      </c>
      <c r="D18" t="s">
        <v>243</v>
      </c>
    </row>
    <row r="19" spans="1:4" x14ac:dyDescent="0.2">
      <c r="A19" t="s">
        <v>232</v>
      </c>
      <c r="B19">
        <f>COUNTIF('Bereinigte Daten'!J:J,A19)</f>
        <v>41</v>
      </c>
      <c r="C19">
        <f>COUNTIFS('Bereinigte Daten'!J:J,A19,'Bereinigte Daten'!I:I,"Ja")</f>
        <v>12</v>
      </c>
      <c r="D19" s="10">
        <f>C19/B19</f>
        <v>0.29268292682926828</v>
      </c>
    </row>
    <row r="20" spans="1:4" x14ac:dyDescent="0.2">
      <c r="A20" t="s">
        <v>231</v>
      </c>
      <c r="B20">
        <f>COUNTIF('Bereinigte Daten'!J:J,A20)</f>
        <v>55</v>
      </c>
      <c r="C20">
        <f>COUNTIFS('Bereinigte Daten'!J:J,A20,'Bereinigte Daten'!I:I,"Ja")</f>
        <v>20</v>
      </c>
      <c r="D20" s="10">
        <f>C20/B20</f>
        <v>0.36363636363636365</v>
      </c>
    </row>
    <row r="21" spans="1:4" x14ac:dyDescent="0.2">
      <c r="A21" t="s">
        <v>230</v>
      </c>
      <c r="B21">
        <f>COUNTIF('Bereinigte Daten'!J:J,A21)</f>
        <v>51</v>
      </c>
      <c r="C21">
        <f>COUNTIFS('Bereinigte Daten'!J:J,A21,'Bereinigte Daten'!I:I,"Ja")</f>
        <v>23</v>
      </c>
      <c r="D21" s="10">
        <f>C21/B21</f>
        <v>0.45098039215686275</v>
      </c>
    </row>
    <row r="22" spans="1:4" x14ac:dyDescent="0.2">
      <c r="A22" t="s">
        <v>229</v>
      </c>
      <c r="B22">
        <f>COUNTIF('Bereinigte Daten'!J:J,A22)</f>
        <v>53</v>
      </c>
      <c r="C22">
        <f>COUNTIFS('Bereinigte Daten'!J:J,A22,'Bereinigte Daten'!I:I,"Ja")</f>
        <v>24</v>
      </c>
      <c r="D22" s="10">
        <f>C22/B22</f>
        <v>0.45283018867924529</v>
      </c>
    </row>
    <row r="25" spans="1:4" x14ac:dyDescent="0.2">
      <c r="A25" t="s">
        <v>6</v>
      </c>
      <c r="B25" t="s">
        <v>242</v>
      </c>
      <c r="C25" t="s">
        <v>245</v>
      </c>
      <c r="D25" t="s">
        <v>243</v>
      </c>
    </row>
    <row r="26" spans="1:4" x14ac:dyDescent="0.2">
      <c r="A26" t="s">
        <v>224</v>
      </c>
      <c r="B26">
        <f>COUNTIF('Bereinigte Daten'!G:G,A26)</f>
        <v>37</v>
      </c>
      <c r="C26">
        <f>COUNTIFS('Bereinigte Daten'!G:G,A26,'Bereinigte Daten'!I:I,"Ja")</f>
        <v>13</v>
      </c>
      <c r="D26" s="10">
        <f>C26/B26</f>
        <v>0.35135135135135137</v>
      </c>
    </row>
    <row r="27" spans="1:4" x14ac:dyDescent="0.2">
      <c r="A27" t="s">
        <v>246</v>
      </c>
      <c r="B27">
        <f>COUNTIF('Bereinigte Daten'!G:G,A27)</f>
        <v>45</v>
      </c>
      <c r="C27">
        <f>COUNTIFS('Bereinigte Daten'!G:G,A27,'Bereinigte Daten'!I:I,"Ja")</f>
        <v>16</v>
      </c>
      <c r="D27" s="10">
        <f>C27/B27</f>
        <v>0.35555555555555557</v>
      </c>
    </row>
    <row r="28" spans="1:4" x14ac:dyDescent="0.2">
      <c r="A28" t="s">
        <v>225</v>
      </c>
      <c r="B28">
        <f>COUNTIF('Bereinigte Daten'!G:G,A28)</f>
        <v>42</v>
      </c>
      <c r="C28">
        <f>COUNTIFS('Bereinigte Daten'!G:G,A28,'Bereinigte Daten'!I:I,"Ja")</f>
        <v>15</v>
      </c>
      <c r="D28" s="10">
        <f>C28/B28</f>
        <v>0.35714285714285715</v>
      </c>
    </row>
    <row r="29" spans="1:4" x14ac:dyDescent="0.2">
      <c r="A29" t="s">
        <v>228</v>
      </c>
      <c r="B29">
        <f>COUNTIF('Bereinigte Daten'!G:G,A29)</f>
        <v>30</v>
      </c>
      <c r="C29">
        <f>COUNTIFS('Bereinigte Daten'!G:G,A29,'Bereinigte Daten'!I:I,"Ja")</f>
        <v>11</v>
      </c>
      <c r="D29" s="10">
        <f>C29/B29</f>
        <v>0.36666666666666664</v>
      </c>
    </row>
    <row r="30" spans="1:4" x14ac:dyDescent="0.2">
      <c r="A30" t="s">
        <v>223</v>
      </c>
      <c r="B30">
        <f>COUNTIF('Bereinigte Daten'!G:G,A30)</f>
        <v>46</v>
      </c>
      <c r="C30">
        <f>COUNTIFS('Bereinigte Daten'!G:G,A30,'Bereinigte Daten'!I:I,"Ja")</f>
        <v>24</v>
      </c>
      <c r="D30" s="10">
        <f>C30/B30</f>
        <v>0.52173913043478259</v>
      </c>
    </row>
  </sheetData>
  <sortState xmlns:xlrd2="http://schemas.microsoft.com/office/spreadsheetml/2017/richdata2" ref="A11:D15">
    <sortCondition ref="D11:D15"/>
  </sortState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397BF-DEE6-F941-A478-0E43D8F37DD2}">
  <dimension ref="A1"/>
  <sheetViews>
    <sheetView showGridLines="0" tabSelected="1" topLeftCell="A10" zoomScale="81" zoomScaleNormal="75" workbookViewId="0">
      <selection activeCell="C54" sqref="C54"/>
    </sheetView>
  </sheetViews>
  <sheetFormatPr baseColWidth="10" defaultRowHeight="16" x14ac:dyDescent="0.2"/>
  <sheetData/>
  <pageMargins left="0.7" right="0.7" top="0.78740157499999996" bottom="0.78740157499999996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Rohdaten</vt:lpstr>
      <vt:lpstr>Bereinigte Daten</vt:lpstr>
      <vt:lpstr>Analyse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Soylu, Senem</dc:creator>
  <cp:lastModifiedBy>Soylu, Senem</cp:lastModifiedBy>
  <dcterms:created xsi:type="dcterms:W3CDTF">2026-09-05T12:37:24Z</dcterms:created>
  <dcterms:modified xsi:type="dcterms:W3CDTF">2026-10-06T15:59:25Z</dcterms:modified>
</cp:coreProperties>
</file>